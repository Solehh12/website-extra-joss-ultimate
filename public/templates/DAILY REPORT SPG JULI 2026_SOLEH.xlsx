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XTRA JOSS PROJECT\TUGAS TL\DAILY REPORT\"/>
    </mc:Choice>
  </mc:AlternateContent>
  <xr:revisionPtr revIDLastSave="0" documentId="13_ncr:1_{D46A8DFC-975F-48C1-BF63-1C44969F7C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ily Report &amp; WIP" sheetId="2" r:id="rId1"/>
    <sheet name="HK" sheetId="10" r:id="rId2"/>
    <sheet name="ZONA SPG" sheetId="8" r:id="rId3"/>
    <sheet name="COACHING" sheetId="5" r:id="rId4"/>
    <sheet name="FEB VS MARET" sheetId="7" r:id="rId5"/>
    <sheet name="SAMPLING" sheetId="6" r:id="rId6"/>
    <sheet name="PICA" sheetId="4" r:id="rId7"/>
  </sheets>
  <calcPr calcId="191029"/>
</workbook>
</file>

<file path=xl/calcChain.xml><?xml version="1.0" encoding="utf-8"?>
<calcChain xmlns="http://schemas.openxmlformats.org/spreadsheetml/2006/main">
  <c r="AU6" i="2" l="1"/>
  <c r="R7" i="5"/>
  <c r="M7" i="5"/>
  <c r="H7" i="5"/>
  <c r="E7" i="5"/>
  <c r="R6" i="5"/>
  <c r="M6" i="5"/>
  <c r="H6" i="5"/>
  <c r="E6" i="5"/>
  <c r="G18" i="8"/>
  <c r="D18" i="8"/>
  <c r="C18" i="8"/>
  <c r="G17" i="8"/>
  <c r="D17" i="8"/>
  <c r="G16" i="8"/>
  <c r="D16" i="8"/>
  <c r="G15" i="8"/>
  <c r="D15" i="8"/>
  <c r="G14" i="8"/>
  <c r="D14" i="8"/>
  <c r="G13" i="8"/>
  <c r="D13" i="8"/>
  <c r="G12" i="8"/>
  <c r="D12" i="8"/>
  <c r="G11" i="8"/>
  <c r="D11" i="8"/>
  <c r="C11" i="8"/>
  <c r="G10" i="8"/>
  <c r="D10" i="8"/>
  <c r="C10" i="8"/>
  <c r="G9" i="8"/>
  <c r="D9" i="8"/>
  <c r="G8" i="8"/>
  <c r="D8" i="8"/>
  <c r="G7" i="8"/>
  <c r="D7" i="8"/>
  <c r="C7" i="8"/>
  <c r="G6" i="8"/>
  <c r="D6" i="8"/>
  <c r="C6" i="8"/>
  <c r="G5" i="8"/>
  <c r="D5" i="8"/>
  <c r="C5" i="8"/>
  <c r="G4" i="8"/>
  <c r="D4" i="8"/>
  <c r="C19" i="10"/>
  <c r="E19" i="10" s="1"/>
  <c r="C18" i="10"/>
  <c r="E18" i="10" s="1"/>
  <c r="C17" i="10"/>
  <c r="E17" i="10" s="1"/>
  <c r="C16" i="10"/>
  <c r="E16" i="10" s="1"/>
  <c r="C15" i="10"/>
  <c r="E15" i="10" s="1"/>
  <c r="C14" i="10"/>
  <c r="E14" i="10" s="1"/>
  <c r="C13" i="10"/>
  <c r="E13" i="10" s="1"/>
  <c r="C12" i="10"/>
  <c r="E12" i="10" s="1"/>
  <c r="C11" i="10"/>
  <c r="E11" i="10" s="1"/>
  <c r="C10" i="10"/>
  <c r="E10" i="10" s="1"/>
  <c r="C9" i="10"/>
  <c r="E9" i="10" s="1"/>
  <c r="C8" i="10"/>
  <c r="E8" i="10" s="1"/>
  <c r="C7" i="10"/>
  <c r="E7" i="10" s="1"/>
  <c r="E6" i="10"/>
  <c r="F6" i="10" s="1"/>
  <c r="C6" i="10"/>
  <c r="E5" i="10"/>
  <c r="C5" i="10"/>
  <c r="N124" i="2"/>
  <c r="I124" i="2"/>
  <c r="G124" i="2"/>
  <c r="H124" i="2" s="1"/>
  <c r="N123" i="2"/>
  <c r="N125" i="2" s="1"/>
  <c r="I123" i="2"/>
  <c r="I125" i="2" s="1"/>
  <c r="G123" i="2"/>
  <c r="H123" i="2" s="1"/>
  <c r="H125" i="2" s="1"/>
  <c r="N122" i="2"/>
  <c r="I122" i="2"/>
  <c r="G122" i="2"/>
  <c r="G125" i="2" s="1"/>
  <c r="H88" i="2"/>
  <c r="N87" i="2"/>
  <c r="I87" i="2"/>
  <c r="G87" i="2"/>
  <c r="H87" i="2" s="1"/>
  <c r="N86" i="2"/>
  <c r="N88" i="2" s="1"/>
  <c r="I86" i="2"/>
  <c r="H86" i="2"/>
  <c r="G86" i="2"/>
  <c r="G88" i="2" s="1"/>
  <c r="K42" i="2"/>
  <c r="N41" i="2"/>
  <c r="I41" i="2"/>
  <c r="L41" i="2" s="1"/>
  <c r="M41" i="2" s="1"/>
  <c r="H41" i="2"/>
  <c r="G41" i="2"/>
  <c r="N40" i="2"/>
  <c r="I40" i="2"/>
  <c r="L40" i="2" s="1"/>
  <c r="G40" i="2"/>
  <c r="K35" i="2"/>
  <c r="N34" i="2"/>
  <c r="L34" i="2"/>
  <c r="O34" i="2" s="1"/>
  <c r="I34" i="2"/>
  <c r="H34" i="2"/>
  <c r="G34" i="2"/>
  <c r="N33" i="2"/>
  <c r="N35" i="2" s="1"/>
  <c r="L33" i="2"/>
  <c r="O33" i="2" s="1"/>
  <c r="I33" i="2"/>
  <c r="G33" i="2"/>
  <c r="G35" i="2" s="1"/>
  <c r="K28" i="2"/>
  <c r="N27" i="2"/>
  <c r="I27" i="2"/>
  <c r="L27" i="2" s="1"/>
  <c r="M27" i="2" s="1"/>
  <c r="G27" i="2"/>
  <c r="H27" i="2" s="1"/>
  <c r="BC26" i="2"/>
  <c r="AZ26" i="2"/>
  <c r="AR26" i="2"/>
  <c r="AV26" i="2" s="1"/>
  <c r="AO26" i="2"/>
  <c r="N26" i="2"/>
  <c r="N28" i="2" s="1"/>
  <c r="I26" i="2"/>
  <c r="L26" i="2" s="1"/>
  <c r="M26" i="2" s="1"/>
  <c r="G26" i="2"/>
  <c r="G28" i="2" s="1"/>
  <c r="BR25" i="2"/>
  <c r="BQ25" i="2"/>
  <c r="BP25" i="2"/>
  <c r="BL25" i="2"/>
  <c r="BJ25" i="2"/>
  <c r="BD25" i="2"/>
  <c r="BC25" i="2"/>
  <c r="BA25" i="2"/>
  <c r="AZ25" i="2"/>
  <c r="BI25" i="2" s="1"/>
  <c r="AY25" i="2"/>
  <c r="AX25" i="2"/>
  <c r="AW25" i="2"/>
  <c r="AV25" i="2"/>
  <c r="AU25" i="2"/>
  <c r="AU26" i="2" s="1"/>
  <c r="AY26" i="2" s="1"/>
  <c r="AT25" i="2"/>
  <c r="AS25" i="2"/>
  <c r="AS26" i="2" s="1"/>
  <c r="AW26" i="2" s="1"/>
  <c r="AR25" i="2"/>
  <c r="AQ25" i="2"/>
  <c r="AP25" i="2"/>
  <c r="BF25" i="2" s="1"/>
  <c r="BE25" i="2" s="1"/>
  <c r="F18" i="8" s="1"/>
  <c r="BP24" i="2"/>
  <c r="BJ24" i="2"/>
  <c r="BH24" i="2"/>
  <c r="H17" i="8" s="1"/>
  <c r="BF24" i="2"/>
  <c r="BC24" i="2"/>
  <c r="BK24" i="2" s="1"/>
  <c r="BB24" i="2"/>
  <c r="E17" i="8" s="1"/>
  <c r="J17" i="8" s="1"/>
  <c r="BA24" i="2"/>
  <c r="AZ24" i="2"/>
  <c r="BI24" i="2" s="1"/>
  <c r="AY24" i="2"/>
  <c r="AX24" i="2"/>
  <c r="AW24" i="2"/>
  <c r="AV24" i="2"/>
  <c r="AU24" i="2"/>
  <c r="AT24" i="2"/>
  <c r="AT26" i="2" s="1"/>
  <c r="AX26" i="2" s="1"/>
  <c r="AS24" i="2"/>
  <c r="AR24" i="2"/>
  <c r="AP24" i="2"/>
  <c r="BP23" i="2"/>
  <c r="AO23" i="2"/>
  <c r="BP22" i="2"/>
  <c r="BJ22" i="2"/>
  <c r="BC22" i="2"/>
  <c r="BA22" i="2"/>
  <c r="AZ22" i="2"/>
  <c r="AY22" i="2"/>
  <c r="AX22" i="2"/>
  <c r="AW22" i="2"/>
  <c r="AV22" i="2"/>
  <c r="AU22" i="2"/>
  <c r="AT22" i="2"/>
  <c r="AS22" i="2"/>
  <c r="AS23" i="2" s="1"/>
  <c r="AW23" i="2" s="1"/>
  <c r="AR22" i="2"/>
  <c r="AP22" i="2"/>
  <c r="AQ22" i="2" s="1"/>
  <c r="BP21" i="2"/>
  <c r="BJ21" i="2"/>
  <c r="BK21" i="2" s="1"/>
  <c r="BC21" i="2"/>
  <c r="BA21" i="2"/>
  <c r="AZ21" i="2"/>
  <c r="AY21" i="2"/>
  <c r="AX21" i="2"/>
  <c r="AW21" i="2"/>
  <c r="AV21" i="2"/>
  <c r="AU21" i="2"/>
  <c r="AT21" i="2"/>
  <c r="AS21" i="2"/>
  <c r="AR21" i="2"/>
  <c r="AP21" i="2"/>
  <c r="AQ21" i="2" s="1"/>
  <c r="BP20" i="2"/>
  <c r="BJ20" i="2"/>
  <c r="BC20" i="2"/>
  <c r="BA20" i="2"/>
  <c r="BQ20" i="2" s="1"/>
  <c r="BR20" i="2" s="1"/>
  <c r="AZ20" i="2"/>
  <c r="AZ23" i="2" s="1"/>
  <c r="AY20" i="2"/>
  <c r="AX20" i="2"/>
  <c r="AW20" i="2"/>
  <c r="AV20" i="2"/>
  <c r="AU20" i="2"/>
  <c r="AU23" i="2" s="1"/>
  <c r="AY23" i="2" s="1"/>
  <c r="AT20" i="2"/>
  <c r="AS20" i="2"/>
  <c r="AR20" i="2"/>
  <c r="AR23" i="2" s="1"/>
  <c r="AV23" i="2" s="1"/>
  <c r="AP20" i="2"/>
  <c r="BF20" i="2" s="1"/>
  <c r="BP19" i="2"/>
  <c r="AO19" i="2"/>
  <c r="BP18" i="2"/>
  <c r="BN18" i="2" s="1"/>
  <c r="BO18" i="2" s="1"/>
  <c r="BJ18" i="2"/>
  <c r="BF18" i="2"/>
  <c r="BC18" i="2"/>
  <c r="BA18" i="2"/>
  <c r="BB18" i="2" s="1"/>
  <c r="E13" i="8" s="1"/>
  <c r="J13" i="8" s="1"/>
  <c r="AZ18" i="2"/>
  <c r="AZ19" i="2" s="1"/>
  <c r="AY18" i="2"/>
  <c r="AX18" i="2"/>
  <c r="AW18" i="2"/>
  <c r="AV18" i="2"/>
  <c r="AU18" i="2"/>
  <c r="AU19" i="2" s="1"/>
  <c r="AY19" i="2" s="1"/>
  <c r="AT18" i="2"/>
  <c r="AS18" i="2"/>
  <c r="AR18" i="2"/>
  <c r="AR19" i="2" s="1"/>
  <c r="AV19" i="2" s="1"/>
  <c r="AQ18" i="2"/>
  <c r="AP18" i="2"/>
  <c r="BP17" i="2"/>
  <c r="BJ17" i="2"/>
  <c r="BJ19" i="2" s="1"/>
  <c r="BC17" i="2"/>
  <c r="BK17" i="2" s="1"/>
  <c r="BA17" i="2"/>
  <c r="AZ17" i="2"/>
  <c r="AY17" i="2"/>
  <c r="AX17" i="2"/>
  <c r="AW17" i="2"/>
  <c r="AV17" i="2"/>
  <c r="AU17" i="2"/>
  <c r="AT17" i="2"/>
  <c r="AT19" i="2" s="1"/>
  <c r="AX19" i="2" s="1"/>
  <c r="AS17" i="2"/>
  <c r="AS19" i="2" s="1"/>
  <c r="AW19" i="2" s="1"/>
  <c r="AR17" i="2"/>
  <c r="AP17" i="2"/>
  <c r="AQ17" i="2" s="1"/>
  <c r="BJ16" i="2"/>
  <c r="AO16" i="2"/>
  <c r="BP15" i="2"/>
  <c r="BJ15" i="2"/>
  <c r="BK15" i="2" s="1"/>
  <c r="BC15" i="2"/>
  <c r="BA15" i="2"/>
  <c r="BB15" i="2" s="1"/>
  <c r="E11" i="8" s="1"/>
  <c r="J11" i="8" s="1"/>
  <c r="AZ15" i="2"/>
  <c r="AY15" i="2"/>
  <c r="AX15" i="2"/>
  <c r="AW15" i="2"/>
  <c r="AV15" i="2"/>
  <c r="AU15" i="2"/>
  <c r="AT15" i="2"/>
  <c r="AT16" i="2" s="1"/>
  <c r="AX16" i="2" s="1"/>
  <c r="AS15" i="2"/>
  <c r="AS16" i="2" s="1"/>
  <c r="AW16" i="2" s="1"/>
  <c r="AR15" i="2"/>
  <c r="AP15" i="2"/>
  <c r="AQ15" i="2" s="1"/>
  <c r="BQ14" i="2"/>
  <c r="BR14" i="2" s="1"/>
  <c r="BP14" i="2"/>
  <c r="BN14" i="2"/>
  <c r="BO14" i="2" s="1"/>
  <c r="BJ14" i="2"/>
  <c r="BD14" i="2"/>
  <c r="BC14" i="2"/>
  <c r="BC16" i="2" s="1"/>
  <c r="BA14" i="2"/>
  <c r="AZ14" i="2"/>
  <c r="AZ16" i="2" s="1"/>
  <c r="AY14" i="2"/>
  <c r="AX14" i="2"/>
  <c r="AW14" i="2"/>
  <c r="AV14" i="2"/>
  <c r="AU14" i="2"/>
  <c r="AU16" i="2" s="1"/>
  <c r="AY16" i="2" s="1"/>
  <c r="AT14" i="2"/>
  <c r="AS14" i="2"/>
  <c r="AR14" i="2"/>
  <c r="AR16" i="2" s="1"/>
  <c r="AV16" i="2" s="1"/>
  <c r="AQ14" i="2"/>
  <c r="AP14" i="2"/>
  <c r="BF14" i="2" s="1"/>
  <c r="BP13" i="2"/>
  <c r="AO13" i="2"/>
  <c r="BQ12" i="2"/>
  <c r="BR12" i="2" s="1"/>
  <c r="BP12" i="2"/>
  <c r="BJ12" i="2"/>
  <c r="BC12" i="2"/>
  <c r="BC13" i="2" s="1"/>
  <c r="BB12" i="2"/>
  <c r="E9" i="8" s="1"/>
  <c r="J9" i="8" s="1"/>
  <c r="BA12" i="2"/>
  <c r="AZ12" i="2"/>
  <c r="AZ13" i="2" s="1"/>
  <c r="AY12" i="2"/>
  <c r="AX12" i="2"/>
  <c r="AW12" i="2"/>
  <c r="AV12" i="2"/>
  <c r="AU12" i="2"/>
  <c r="AU13" i="2" s="1"/>
  <c r="AY13" i="2" s="1"/>
  <c r="AT12" i="2"/>
  <c r="AS12" i="2"/>
  <c r="AR12" i="2"/>
  <c r="AR13" i="2" s="1"/>
  <c r="AV13" i="2" s="1"/>
  <c r="AP12" i="2"/>
  <c r="BD12" i="2" s="1"/>
  <c r="BP11" i="2"/>
  <c r="BJ11" i="2"/>
  <c r="BJ13" i="2" s="1"/>
  <c r="BC11" i="2"/>
  <c r="BA11" i="2"/>
  <c r="BB11" i="2" s="1"/>
  <c r="E8" i="8" s="1"/>
  <c r="J8" i="8" s="1"/>
  <c r="AZ11" i="2"/>
  <c r="AY11" i="2"/>
  <c r="AX11" i="2"/>
  <c r="AW11" i="2"/>
  <c r="AV11" i="2"/>
  <c r="AU11" i="2"/>
  <c r="AT11" i="2"/>
  <c r="AS11" i="2"/>
  <c r="AS13" i="2" s="1"/>
  <c r="AW13" i="2" s="1"/>
  <c r="AR11" i="2"/>
  <c r="AP11" i="2"/>
  <c r="AQ11" i="2" s="1"/>
  <c r="AO10" i="2"/>
  <c r="BP9" i="2"/>
  <c r="BJ9" i="2"/>
  <c r="BK9" i="2" s="1"/>
  <c r="BC9" i="2"/>
  <c r="BA9" i="2"/>
  <c r="AZ9" i="2"/>
  <c r="BH9" i="2" s="1"/>
  <c r="H7" i="8" s="1"/>
  <c r="AY9" i="2"/>
  <c r="AX9" i="2"/>
  <c r="AW9" i="2"/>
  <c r="AV9" i="2"/>
  <c r="AU9" i="2"/>
  <c r="AT9" i="2"/>
  <c r="AS9" i="2"/>
  <c r="AR9" i="2"/>
  <c r="AR10" i="2" s="1"/>
  <c r="AP9" i="2"/>
  <c r="AQ9" i="2" s="1"/>
  <c r="K9" i="2"/>
  <c r="BP8" i="2"/>
  <c r="BJ8" i="2"/>
  <c r="BK8" i="2" s="1"/>
  <c r="BC8" i="2"/>
  <c r="BA8" i="2"/>
  <c r="BB8" i="2" s="1"/>
  <c r="E6" i="8" s="1"/>
  <c r="J6" i="8" s="1"/>
  <c r="AZ8" i="2"/>
  <c r="AY8" i="2"/>
  <c r="AX8" i="2"/>
  <c r="AW8" i="2"/>
  <c r="AV8" i="2"/>
  <c r="AU8" i="2"/>
  <c r="AT8" i="2"/>
  <c r="AS8" i="2"/>
  <c r="AS10" i="2" s="1"/>
  <c r="AR8" i="2"/>
  <c r="AP8" i="2"/>
  <c r="AQ8" i="2" s="1"/>
  <c r="O8" i="2"/>
  <c r="N8" i="2"/>
  <c r="N9" i="2" s="1"/>
  <c r="I8" i="2"/>
  <c r="L8" i="2" s="1"/>
  <c r="M8" i="2" s="1"/>
  <c r="G8" i="2"/>
  <c r="H8" i="2" s="1"/>
  <c r="BR7" i="2"/>
  <c r="BQ7" i="2"/>
  <c r="BP7" i="2"/>
  <c r="BN7" i="2"/>
  <c r="BO7" i="2" s="1"/>
  <c r="BL7" i="2"/>
  <c r="BJ7" i="2"/>
  <c r="BD7" i="2"/>
  <c r="BC7" i="2"/>
  <c r="BA7" i="2"/>
  <c r="AZ7" i="2"/>
  <c r="BI7" i="2" s="1"/>
  <c r="AY7" i="2"/>
  <c r="AX7" i="2"/>
  <c r="AW7" i="2"/>
  <c r="AV7" i="2"/>
  <c r="AU7" i="2"/>
  <c r="AT7" i="2"/>
  <c r="AS7" i="2"/>
  <c r="AR7" i="2"/>
  <c r="AQ7" i="2"/>
  <c r="AP7" i="2"/>
  <c r="BF7" i="2" s="1"/>
  <c r="BE7" i="2" s="1"/>
  <c r="F5" i="8" s="1"/>
  <c r="N7" i="2"/>
  <c r="I7" i="2"/>
  <c r="H7" i="2"/>
  <c r="G7" i="2"/>
  <c r="BP6" i="2"/>
  <c r="BJ6" i="2"/>
  <c r="BH6" i="2"/>
  <c r="H4" i="8" s="1"/>
  <c r="BC6" i="2"/>
  <c r="BC10" i="2" s="1"/>
  <c r="BB6" i="2"/>
  <c r="E4" i="8" s="1"/>
  <c r="J4" i="8" s="1"/>
  <c r="BA6" i="2"/>
  <c r="AZ6" i="2"/>
  <c r="AY6" i="2"/>
  <c r="AX6" i="2"/>
  <c r="AW6" i="2"/>
  <c r="AV6" i="2"/>
  <c r="AT6" i="2"/>
  <c r="AT10" i="2" s="1"/>
  <c r="AS6" i="2"/>
  <c r="AR6" i="2"/>
  <c r="AP6" i="2"/>
  <c r="C4" i="8" s="1"/>
  <c r="N6" i="2"/>
  <c r="L6" i="2"/>
  <c r="O6" i="2" s="1"/>
  <c r="I6" i="2"/>
  <c r="H6" i="2"/>
  <c r="G6" i="2"/>
  <c r="N5" i="2"/>
  <c r="L5" i="2"/>
  <c r="M5" i="2" s="1"/>
  <c r="I5" i="2"/>
  <c r="G5" i="2"/>
  <c r="H5" i="2" s="1"/>
  <c r="H9" i="2" s="1"/>
  <c r="H122" i="2" l="1"/>
  <c r="BH21" i="2"/>
  <c r="H15" i="8" s="1"/>
  <c r="BN21" i="2"/>
  <c r="BO21" i="2" s="1"/>
  <c r="C15" i="8"/>
  <c r="BD21" i="2"/>
  <c r="BN25" i="2"/>
  <c r="BO25" i="2" s="1"/>
  <c r="AT13" i="2"/>
  <c r="AX13" i="2" s="1"/>
  <c r="O26" i="2"/>
  <c r="BH18" i="2"/>
  <c r="H13" i="8" s="1"/>
  <c r="BD18" i="2"/>
  <c r="M40" i="2"/>
  <c r="L42" i="2"/>
  <c r="M42" i="2" s="1"/>
  <c r="N42" i="2"/>
  <c r="BC19" i="2"/>
  <c r="I42" i="2"/>
  <c r="BK19" i="2"/>
  <c r="BK22" i="2"/>
  <c r="BC23" i="2"/>
  <c r="BC27" i="2" s="1"/>
  <c r="BE20" i="2"/>
  <c r="F14" i="8" s="1"/>
  <c r="BA23" i="2"/>
  <c r="BQ23" i="2" s="1"/>
  <c r="BR23" i="2" s="1"/>
  <c r="AT23" i="2"/>
  <c r="AX23" i="2" s="1"/>
  <c r="BN20" i="2"/>
  <c r="BO20" i="2" s="1"/>
  <c r="AQ20" i="2"/>
  <c r="BD20" i="2"/>
  <c r="C14" i="8"/>
  <c r="BB22" i="2"/>
  <c r="E16" i="8" s="1"/>
  <c r="J16" i="8" s="1"/>
  <c r="O27" i="2"/>
  <c r="I28" i="2"/>
  <c r="AS27" i="2"/>
  <c r="AW10" i="2"/>
  <c r="AW27" i="2" s="1"/>
  <c r="BK13" i="2"/>
  <c r="AR27" i="2"/>
  <c r="AV10" i="2"/>
  <c r="AV27" i="2" s="1"/>
  <c r="BN6" i="2"/>
  <c r="BO6" i="2" s="1"/>
  <c r="BP10" i="2"/>
  <c r="BI8" i="2"/>
  <c r="AZ10" i="2"/>
  <c r="BE14" i="2"/>
  <c r="BK14" i="2"/>
  <c r="BI15" i="2"/>
  <c r="BQ15" i="2"/>
  <c r="BR15" i="2" s="1"/>
  <c r="BA16" i="2"/>
  <c r="BK16" i="2"/>
  <c r="L35" i="2"/>
  <c r="L124" i="2"/>
  <c r="M124" i="2" s="1"/>
  <c r="O124" i="2"/>
  <c r="J124" i="2"/>
  <c r="J6" i="2"/>
  <c r="BQ6" i="2"/>
  <c r="BR6" i="2" s="1"/>
  <c r="BB9" i="2"/>
  <c r="E7" i="8" s="1"/>
  <c r="J7" i="8" s="1"/>
  <c r="BI9" i="2"/>
  <c r="BQ9" i="2"/>
  <c r="BR9" i="2" s="1"/>
  <c r="BA10" i="2"/>
  <c r="BJ10" i="2"/>
  <c r="BI17" i="2"/>
  <c r="AP23" i="2"/>
  <c r="AQ23" i="2" s="1"/>
  <c r="BH25" i="2"/>
  <c r="H18" i="8" s="1"/>
  <c r="J34" i="2"/>
  <c r="L87" i="2"/>
  <c r="M87" i="2" s="1"/>
  <c r="O87" i="2"/>
  <c r="J87" i="2"/>
  <c r="F5" i="10"/>
  <c r="AU10" i="2"/>
  <c r="BD8" i="2"/>
  <c r="G9" i="2"/>
  <c r="BI11" i="2"/>
  <c r="BH14" i="2"/>
  <c r="H10" i="8" s="1"/>
  <c r="BD15" i="2"/>
  <c r="BN15" i="2"/>
  <c r="BO15" i="2" s="1"/>
  <c r="BF17" i="2"/>
  <c r="BI22" i="2"/>
  <c r="BJ23" i="2"/>
  <c r="BB25" i="2"/>
  <c r="E18" i="8" s="1"/>
  <c r="J18" i="8" s="1"/>
  <c r="H33" i="2"/>
  <c r="H35" i="2" s="1"/>
  <c r="G42" i="2"/>
  <c r="H40" i="2"/>
  <c r="L122" i="2"/>
  <c r="M122" i="2" s="1"/>
  <c r="O122" i="2"/>
  <c r="J122" i="2"/>
  <c r="F7" i="10"/>
  <c r="G7" i="10" s="1"/>
  <c r="G8" i="10"/>
  <c r="F8" i="10"/>
  <c r="H8" i="10"/>
  <c r="G9" i="10"/>
  <c r="F9" i="10"/>
  <c r="F10" i="10"/>
  <c r="F11" i="10"/>
  <c r="G11" i="10" s="1"/>
  <c r="G12" i="10"/>
  <c r="K12" i="10" s="1"/>
  <c r="F12" i="10"/>
  <c r="I12" i="10"/>
  <c r="G13" i="10"/>
  <c r="F13" i="10"/>
  <c r="F14" i="10"/>
  <c r="F15" i="10"/>
  <c r="G15" i="10" s="1"/>
  <c r="G16" i="10"/>
  <c r="F16" i="10"/>
  <c r="H16" i="10"/>
  <c r="G17" i="10"/>
  <c r="F17" i="10"/>
  <c r="F18" i="10"/>
  <c r="F19" i="10"/>
  <c r="G19" i="10" s="1"/>
  <c r="C8" i="8"/>
  <c r="C9" i="8"/>
  <c r="C12" i="8"/>
  <c r="C13" i="8"/>
  <c r="C16" i="8"/>
  <c r="O5" i="2"/>
  <c r="L7" i="2"/>
  <c r="L9" i="2" s="1"/>
  <c r="M9" i="2" s="1"/>
  <c r="J7" i="2"/>
  <c r="BQ8" i="2"/>
  <c r="BR8" i="2" s="1"/>
  <c r="BK18" i="2"/>
  <c r="BF26" i="2"/>
  <c r="BE26" i="2" s="1"/>
  <c r="BL26" i="2" s="1"/>
  <c r="BE24" i="2"/>
  <c r="L86" i="2"/>
  <c r="O86" i="2"/>
  <c r="J86" i="2"/>
  <c r="O125" i="2"/>
  <c r="J125" i="2"/>
  <c r="G5" i="10"/>
  <c r="BD6" i="2"/>
  <c r="AP10" i="2"/>
  <c r="AX10" i="2"/>
  <c r="BH7" i="2"/>
  <c r="H5" i="8" s="1"/>
  <c r="BK11" i="2"/>
  <c r="AQ12" i="2"/>
  <c r="BK12" i="2"/>
  <c r="BE18" i="2"/>
  <c r="AP19" i="2"/>
  <c r="AQ19" i="2" s="1"/>
  <c r="BH20" i="2"/>
  <c r="H14" i="8" s="1"/>
  <c r="I14" i="8" s="1"/>
  <c r="BP26" i="2"/>
  <c r="BN24" i="2"/>
  <c r="BO24" i="2" s="1"/>
  <c r="M33" i="2"/>
  <c r="J41" i="2"/>
  <c r="I88" i="2"/>
  <c r="H6" i="10"/>
  <c r="I6" i="10" s="1"/>
  <c r="G6" i="10"/>
  <c r="AQ6" i="2"/>
  <c r="BK6" i="2"/>
  <c r="BB7" i="2"/>
  <c r="E5" i="8" s="1"/>
  <c r="J5" i="8" s="1"/>
  <c r="BN8" i="2"/>
  <c r="BO8" i="2" s="1"/>
  <c r="BF12" i="2"/>
  <c r="BE12" i="2" s="1"/>
  <c r="AP13" i="2"/>
  <c r="AQ13" i="2" s="1"/>
  <c r="BA19" i="2"/>
  <c r="BI19" i="2" s="1"/>
  <c r="BD17" i="2"/>
  <c r="BH17" i="2"/>
  <c r="H12" i="8" s="1"/>
  <c r="BN17" i="2"/>
  <c r="BO17" i="2" s="1"/>
  <c r="BQ17" i="2"/>
  <c r="BR17" i="2" s="1"/>
  <c r="BB20" i="2"/>
  <c r="E14" i="8" s="1"/>
  <c r="J14" i="8" s="1"/>
  <c r="BI20" i="2"/>
  <c r="AP26" i="2"/>
  <c r="AQ26" i="2" s="1"/>
  <c r="C17" i="8"/>
  <c r="BD24" i="2"/>
  <c r="BQ24" i="2"/>
  <c r="BR24" i="2" s="1"/>
  <c r="I9" i="2"/>
  <c r="M6" i="2"/>
  <c r="BI6" i="2"/>
  <c r="BF6" i="2"/>
  <c r="I5" i="8"/>
  <c r="BK7" i="2"/>
  <c r="J8" i="2"/>
  <c r="BH8" i="2"/>
  <c r="H6" i="8" s="1"/>
  <c r="BD9" i="2"/>
  <c r="BN9" i="2"/>
  <c r="BO9" i="2" s="1"/>
  <c r="AO27" i="2"/>
  <c r="BA13" i="2"/>
  <c r="BD11" i="2"/>
  <c r="BH11" i="2"/>
  <c r="H8" i="8" s="1"/>
  <c r="BF11" i="2"/>
  <c r="BN11" i="2"/>
  <c r="BO11" i="2" s="1"/>
  <c r="BQ11" i="2"/>
  <c r="BR11" i="2" s="1"/>
  <c r="BH12" i="2"/>
  <c r="H9" i="8" s="1"/>
  <c r="BN12" i="2"/>
  <c r="BO12" i="2" s="1"/>
  <c r="BH13" i="2"/>
  <c r="BB14" i="2"/>
  <c r="E10" i="8" s="1"/>
  <c r="J10" i="8" s="1"/>
  <c r="BI14" i="2"/>
  <c r="BH15" i="2"/>
  <c r="H11" i="8" s="1"/>
  <c r="BB17" i="2"/>
  <c r="E12" i="8" s="1"/>
  <c r="J12" i="8" s="1"/>
  <c r="BQ18" i="2"/>
  <c r="BR18" i="2" s="1"/>
  <c r="BK20" i="2"/>
  <c r="BB21" i="2"/>
  <c r="E15" i="8" s="1"/>
  <c r="J15" i="8" s="1"/>
  <c r="BI21" i="2"/>
  <c r="BQ21" i="2"/>
  <c r="BR21" i="2" s="1"/>
  <c r="BD22" i="2"/>
  <c r="BH22" i="2"/>
  <c r="H16" i="8" s="1"/>
  <c r="BF22" i="2"/>
  <c r="BE22" i="2" s="1"/>
  <c r="BN22" i="2"/>
  <c r="BO22" i="2" s="1"/>
  <c r="BQ22" i="2"/>
  <c r="BR22" i="2" s="1"/>
  <c r="BB23" i="2"/>
  <c r="AQ24" i="2"/>
  <c r="I18" i="8"/>
  <c r="BK25" i="2"/>
  <c r="J27" i="2"/>
  <c r="L28" i="2"/>
  <c r="J33" i="2"/>
  <c r="M34" i="2"/>
  <c r="L123" i="2"/>
  <c r="O123" i="2"/>
  <c r="J123" i="2"/>
  <c r="I8" i="10"/>
  <c r="J12" i="10"/>
  <c r="I16" i="10"/>
  <c r="BF8" i="2"/>
  <c r="BE8" i="2" s="1"/>
  <c r="BF9" i="2"/>
  <c r="BE9" i="2" s="1"/>
  <c r="BI12" i="2"/>
  <c r="BF15" i="2"/>
  <c r="BE15" i="2" s="1"/>
  <c r="AP16" i="2"/>
  <c r="AQ16" i="2" s="1"/>
  <c r="BP16" i="2"/>
  <c r="BI18" i="2"/>
  <c r="BF21" i="2"/>
  <c r="BA26" i="2"/>
  <c r="BJ26" i="2"/>
  <c r="BK26" i="2" s="1"/>
  <c r="I35" i="2"/>
  <c r="J35" i="2" s="1"/>
  <c r="J5" i="2"/>
  <c r="H26" i="2"/>
  <c r="H28" i="2" s="1"/>
  <c r="J28" i="2" s="1"/>
  <c r="BN23" i="2" l="1"/>
  <c r="BO23" i="2" s="1"/>
  <c r="AT27" i="2"/>
  <c r="BK23" i="2"/>
  <c r="BL20" i="2"/>
  <c r="AX27" i="2"/>
  <c r="BI13" i="2"/>
  <c r="H15" i="10"/>
  <c r="I15" i="10"/>
  <c r="H19" i="10"/>
  <c r="H7" i="10"/>
  <c r="J7" i="10" s="1"/>
  <c r="I7" i="10"/>
  <c r="H11" i="10"/>
  <c r="J11" i="10" s="1"/>
  <c r="I11" i="10"/>
  <c r="BB26" i="2"/>
  <c r="BD26" i="2"/>
  <c r="F6" i="8"/>
  <c r="I6" i="8" s="1"/>
  <c r="BL8" i="2"/>
  <c r="BE6" i="2"/>
  <c r="BF10" i="2"/>
  <c r="BN13" i="2"/>
  <c r="BO13" i="2" s="1"/>
  <c r="BF23" i="2"/>
  <c r="BE23" i="2" s="1"/>
  <c r="BL23" i="2" s="1"/>
  <c r="BE21" i="2"/>
  <c r="O28" i="2"/>
  <c r="M28" i="2"/>
  <c r="BF13" i="2"/>
  <c r="BE13" i="2" s="1"/>
  <c r="BL13" i="2" s="1"/>
  <c r="BE11" i="2"/>
  <c r="L125" i="2"/>
  <c r="M125" i="2" s="1"/>
  <c r="M123" i="2"/>
  <c r="F16" i="8"/>
  <c r="I16" i="8" s="1"/>
  <c r="BL22" i="2"/>
  <c r="BQ19" i="2"/>
  <c r="BR19" i="2" s="1"/>
  <c r="F9" i="8"/>
  <c r="I9" i="8" s="1"/>
  <c r="BL12" i="2"/>
  <c r="L88" i="2"/>
  <c r="M88" i="2" s="1"/>
  <c r="M86" i="2"/>
  <c r="L16" i="10"/>
  <c r="N12" i="10"/>
  <c r="L12" i="10"/>
  <c r="H10" i="10"/>
  <c r="BD23" i="2"/>
  <c r="BH23" i="2"/>
  <c r="BA27" i="2"/>
  <c r="BB10" i="2"/>
  <c r="BD10" i="2"/>
  <c r="BB16" i="2"/>
  <c r="BD16" i="2"/>
  <c r="F10" i="8"/>
  <c r="I10" i="8" s="1"/>
  <c r="BL14" i="2"/>
  <c r="BQ10" i="2"/>
  <c r="BR10" i="2" s="1"/>
  <c r="BP27" i="2"/>
  <c r="BN10" i="2"/>
  <c r="BO10" i="2" s="1"/>
  <c r="BI16" i="2"/>
  <c r="BD13" i="2"/>
  <c r="BB13" i="2"/>
  <c r="O88" i="2"/>
  <c r="J88" i="2"/>
  <c r="O7" i="2"/>
  <c r="M7" i="2"/>
  <c r="BF19" i="2"/>
  <c r="BE19" i="2" s="1"/>
  <c r="BL19" i="2" s="1"/>
  <c r="BE17" i="2"/>
  <c r="AY10" i="2"/>
  <c r="AY27" i="2" s="1"/>
  <c r="AU27" i="2"/>
  <c r="BI26" i="2"/>
  <c r="BH10" i="2"/>
  <c r="AZ27" i="2"/>
  <c r="BI10" i="2"/>
  <c r="BH26" i="2"/>
  <c r="F11" i="8"/>
  <c r="I11" i="8" s="1"/>
  <c r="BL15" i="2"/>
  <c r="BQ26" i="2"/>
  <c r="BR26" i="2" s="1"/>
  <c r="BN26" i="2"/>
  <c r="BO26" i="2" s="1"/>
  <c r="F13" i="8"/>
  <c r="I13" i="8" s="1"/>
  <c r="BL18" i="2"/>
  <c r="AP27" i="2"/>
  <c r="AQ27" i="2" s="1"/>
  <c r="AQ10" i="2"/>
  <c r="J40" i="2"/>
  <c r="H42" i="2"/>
  <c r="J42" i="2" s="1"/>
  <c r="BJ27" i="2"/>
  <c r="BK10" i="2"/>
  <c r="BQ16" i="2"/>
  <c r="BR16" i="2" s="1"/>
  <c r="BN16" i="2"/>
  <c r="BO16" i="2" s="1"/>
  <c r="F7" i="8"/>
  <c r="I7" i="8" s="1"/>
  <c r="BL9" i="2"/>
  <c r="I13" i="10"/>
  <c r="I9" i="10"/>
  <c r="J26" i="2"/>
  <c r="BQ13" i="2"/>
  <c r="BR13" i="2" s="1"/>
  <c r="J9" i="2"/>
  <c r="O9" i="2"/>
  <c r="BD19" i="2"/>
  <c r="BB19" i="2"/>
  <c r="J6" i="10"/>
  <c r="BN19" i="2"/>
  <c r="BO19" i="2" s="1"/>
  <c r="H5" i="10"/>
  <c r="F17" i="8"/>
  <c r="I17" i="8" s="1"/>
  <c r="BL24" i="2"/>
  <c r="G18" i="10"/>
  <c r="H17" i="10"/>
  <c r="J16" i="10"/>
  <c r="G14" i="10"/>
  <c r="H13" i="10"/>
  <c r="P12" i="10"/>
  <c r="G10" i="10"/>
  <c r="H9" i="10"/>
  <c r="J8" i="10"/>
  <c r="BI23" i="2"/>
  <c r="M35" i="2"/>
  <c r="O35" i="2"/>
  <c r="BF16" i="2"/>
  <c r="BE16" i="2" s="1"/>
  <c r="BL16" i="2" s="1"/>
  <c r="BH19" i="2"/>
  <c r="BH16" i="2"/>
  <c r="L7" i="10" l="1"/>
  <c r="N13" i="10"/>
  <c r="J5" i="10"/>
  <c r="L9" i="10"/>
  <c r="O11" i="10"/>
  <c r="K11" i="10"/>
  <c r="BF27" i="2"/>
  <c r="BE27" i="2" s="1"/>
  <c r="BL27" i="2" s="1"/>
  <c r="BE10" i="2"/>
  <c r="BL10" i="2" s="1"/>
  <c r="Q12" i="10"/>
  <c r="N11" i="10"/>
  <c r="I17" i="10"/>
  <c r="J17" i="10" s="1"/>
  <c r="BN27" i="2"/>
  <c r="BO27" i="2" s="1"/>
  <c r="BQ27" i="2"/>
  <c r="BR27" i="2" s="1"/>
  <c r="BB27" i="2"/>
  <c r="BD27" i="2"/>
  <c r="L8" i="10"/>
  <c r="J9" i="10"/>
  <c r="J13" i="10"/>
  <c r="L13" i="10" s="1"/>
  <c r="N16" i="10"/>
  <c r="H18" i="10"/>
  <c r="I10" i="10"/>
  <c r="N9" i="10"/>
  <c r="L6" i="10"/>
  <c r="Q6" i="10" s="1"/>
  <c r="F4" i="8"/>
  <c r="I4" i="8" s="1"/>
  <c r="BL6" i="2"/>
  <c r="O6" i="10"/>
  <c r="P6" i="10" s="1"/>
  <c r="I19" i="10"/>
  <c r="J15" i="10"/>
  <c r="BK27" i="2"/>
  <c r="BM27" i="2"/>
  <c r="F12" i="8"/>
  <c r="I12" i="8" s="1"/>
  <c r="BL17" i="2"/>
  <c r="N6" i="10"/>
  <c r="H14" i="10"/>
  <c r="I5" i="10"/>
  <c r="BI27" i="2"/>
  <c r="BH27" i="2"/>
  <c r="N8" i="10"/>
  <c r="O13" i="10"/>
  <c r="P13" i="10" s="1"/>
  <c r="I14" i="10"/>
  <c r="F8" i="8"/>
  <c r="I8" i="8" s="1"/>
  <c r="BL11" i="2"/>
  <c r="F15" i="8"/>
  <c r="I15" i="8" s="1"/>
  <c r="BL21" i="2"/>
  <c r="T6" i="10" l="1"/>
  <c r="U6" i="10" s="1"/>
  <c r="V6" i="10" s="1"/>
  <c r="L17" i="10"/>
  <c r="P9" i="10"/>
  <c r="Q9" i="10" s="1"/>
  <c r="Q13" i="10"/>
  <c r="S13" i="10" s="1"/>
  <c r="T13" i="10" s="1"/>
  <c r="U13" i="10" s="1"/>
  <c r="V13" i="10" s="1"/>
  <c r="Q16" i="10"/>
  <c r="S16" i="10" s="1"/>
  <c r="O9" i="10"/>
  <c r="P16" i="10"/>
  <c r="T16" i="10" s="1"/>
  <c r="U16" i="10" s="1"/>
  <c r="V16" i="10" s="1"/>
  <c r="J10" i="10"/>
  <c r="L15" i="10"/>
  <c r="O16" i="10"/>
  <c r="S6" i="10"/>
  <c r="L5" i="10"/>
  <c r="N5" i="10" s="1"/>
  <c r="J14" i="10"/>
  <c r="N7" i="10"/>
  <c r="R12" i="10"/>
  <c r="S12" i="10" s="1"/>
  <c r="T12" i="10" s="1"/>
  <c r="U12" i="10" s="1"/>
  <c r="V12" i="10" s="1"/>
  <c r="L19" i="10"/>
  <c r="N19" i="10" s="1"/>
  <c r="J19" i="10"/>
  <c r="P11" i="10"/>
  <c r="I18" i="10"/>
  <c r="O8" i="10"/>
  <c r="P8" i="10" s="1"/>
  <c r="T9" i="10" l="1"/>
  <c r="U9" i="10" s="1"/>
  <c r="V9" i="10" s="1"/>
  <c r="J18" i="10"/>
  <c r="L18" i="10" s="1"/>
  <c r="O7" i="10"/>
  <c r="P7" i="10" s="1"/>
  <c r="Q7" i="10" s="1"/>
  <c r="S7" i="10" s="1"/>
  <c r="Q8" i="10"/>
  <c r="T8" i="10" s="1"/>
  <c r="U8" i="10" s="1"/>
  <c r="V8" i="10" s="1"/>
  <c r="O19" i="10"/>
  <c r="O5" i="10"/>
  <c r="L14" i="10"/>
  <c r="N18" i="10"/>
  <c r="O18" i="10"/>
  <c r="P18" i="10" s="1"/>
  <c r="Q18" i="10" s="1"/>
  <c r="S18" i="10" s="1"/>
  <c r="N15" i="10"/>
  <c r="S8" i="10"/>
  <c r="P19" i="10"/>
  <c r="S9" i="10"/>
  <c r="L10" i="10"/>
  <c r="N17" i="10"/>
  <c r="Q11" i="10"/>
  <c r="R11" i="10" s="1"/>
  <c r="N10" i="10" l="1"/>
  <c r="O10" i="10" s="1"/>
  <c r="P10" i="10" s="1"/>
  <c r="Q10" i="10" s="1"/>
  <c r="S10" i="10" s="1"/>
  <c r="S19" i="10"/>
  <c r="T19" i="10" s="1"/>
  <c r="U19" i="10" s="1"/>
  <c r="V19" i="10" s="1"/>
  <c r="T7" i="10"/>
  <c r="U7" i="10" s="1"/>
  <c r="V7" i="10" s="1"/>
  <c r="T11" i="10"/>
  <c r="U11" i="10" s="1"/>
  <c r="V11" i="10" s="1"/>
  <c r="Q19" i="10"/>
  <c r="N14" i="10"/>
  <c r="O14" i="10" s="1"/>
  <c r="P14" i="10" s="1"/>
  <c r="Q14" i="10" s="1"/>
  <c r="S14" i="10" s="1"/>
  <c r="O15" i="10"/>
  <c r="P15" i="10" s="1"/>
  <c r="T18" i="10"/>
  <c r="U18" i="10" s="1"/>
  <c r="V18" i="10" s="1"/>
  <c r="P5" i="10"/>
  <c r="Q5" i="10" s="1"/>
  <c r="S5" i="10" s="1"/>
  <c r="T5" i="10" s="1"/>
  <c r="U5" i="10" s="1"/>
  <c r="V5" i="10" s="1"/>
  <c r="Q15" i="10"/>
  <c r="S15" i="10" s="1"/>
  <c r="O17" i="10"/>
  <c r="P17" i="10" s="1"/>
  <c r="Q17" i="10" s="1"/>
  <c r="S17" i="10" s="1"/>
  <c r="T17" i="10" s="1"/>
  <c r="U17" i="10" s="1"/>
  <c r="V17" i="10" s="1"/>
  <c r="T15" i="10" l="1"/>
  <c r="U15" i="10" s="1"/>
  <c r="V15" i="10" s="1"/>
  <c r="T10" i="10"/>
  <c r="U10" i="10" s="1"/>
  <c r="V10" i="10" s="1"/>
  <c r="T14" i="10"/>
  <c r="U14" i="10" s="1"/>
  <c r="V14" i="10" s="1"/>
</calcChain>
</file>

<file path=xl/sharedStrings.xml><?xml version="1.0" encoding="utf-8"?>
<sst xmlns="http://schemas.openxmlformats.org/spreadsheetml/2006/main" count="1150" uniqueCount="454">
  <si>
    <t>AREA BANJARMASIN</t>
  </si>
  <si>
    <t>SELLING OUT BY MTD</t>
  </si>
  <si>
    <t>SELLING OUT BY MONTH</t>
  </si>
  <si>
    <t>SELLING OUT BY VALUE</t>
  </si>
  <si>
    <t>NURUL (JOINT DATE 1 Juli 2026)</t>
  </si>
  <si>
    <t>KHORUNISA (JOINT DATE 4 MEI 2026)</t>
  </si>
  <si>
    <t>HERLISA (JOINT DATE  2 Desember 2025)</t>
  </si>
  <si>
    <t>NUR (JOINT PER TANGGAL 14 AGUSTUS 2026)</t>
  </si>
  <si>
    <t>REGION</t>
  </si>
  <si>
    <t>AREA</t>
  </si>
  <si>
    <t>NAMA TOKO</t>
  </si>
  <si>
    <t>NAMA SPG</t>
  </si>
  <si>
    <t>JOINT DATE</t>
  </si>
  <si>
    <t>HK</t>
  </si>
  <si>
    <t>TARGET BY HK</t>
  </si>
  <si>
    <t>ACTUAL BY HK</t>
  </si>
  <si>
    <t>ACV BY HK (%)</t>
  </si>
  <si>
    <t>TARGET BY MONTH</t>
  </si>
  <si>
    <t>ACTUAL BY MONTH</t>
  </si>
  <si>
    <t>ACV BY MONTH (%)</t>
  </si>
  <si>
    <t>TOTAL VALUE (Rp)</t>
  </si>
  <si>
    <t>AVRG PER DAY</t>
  </si>
  <si>
    <t>Tanggal</t>
  </si>
  <si>
    <t>STATUS ABSENSI</t>
  </si>
  <si>
    <t>Selling (pcs)</t>
  </si>
  <si>
    <t>Value (Rp)</t>
  </si>
  <si>
    <t>Banjarmasin</t>
  </si>
  <si>
    <t>Farez Barokah</t>
  </si>
  <si>
    <t>Nurul Agatha</t>
  </si>
  <si>
    <t xml:space="preserve"> 1 Juli 2026</t>
  </si>
  <si>
    <t>OFF</t>
  </si>
  <si>
    <t>yeyen/ibak</t>
  </si>
  <si>
    <t>Herlisa</t>
  </si>
  <si>
    <t xml:space="preserve"> 2 Desember 2025</t>
  </si>
  <si>
    <t>IZIN</t>
  </si>
  <si>
    <t>Khoirunisa</t>
  </si>
  <si>
    <t xml:space="preserve"> 4 Mei 2026</t>
  </si>
  <si>
    <t>Toko Ahim</t>
  </si>
  <si>
    <t>Nur</t>
  </si>
  <si>
    <t xml:space="preserve"> 2 Juni 2026</t>
  </si>
  <si>
    <t>TOTAL BANJARMASIN</t>
  </si>
  <si>
    <t>Issue/Insight :</t>
  </si>
  <si>
    <t xml:space="preserve">1. SPG atas nama  Herlisa izin </t>
  </si>
  <si>
    <t>2. Sebagian Toko/Retailer under grosir masih banyak stock</t>
  </si>
  <si>
    <t>3. SPG atas nama IKA Resign</t>
  </si>
  <si>
    <t>4. terdapat harga Rp.4.500 di toko di area Banjarmasin tengah</t>
  </si>
  <si>
    <t>Action Plan:</t>
  </si>
  <si>
    <t>1. Untuk toko stok masih banyak: jangan push ambil banyak, cukup order kecil 3–6 can + bantu display biar stok lama cepat jalan, lalu follow up H+3.</t>
  </si>
  <si>
    <t>2. SPG fokus edukasi dan sampling saat stay di Outlet</t>
  </si>
  <si>
    <t>3. Fokus untuk jalin hubungan dengan toko-toko meminta no wa pihak toko jika dari toko barang masih ada</t>
  </si>
  <si>
    <t>LIBUR</t>
  </si>
  <si>
    <t>Balikpapan</t>
  </si>
  <si>
    <t>Toko Perdana</t>
  </si>
  <si>
    <t>Rami</t>
  </si>
  <si>
    <t xml:space="preserve"> 1 Juni 2026</t>
  </si>
  <si>
    <t>Grace</t>
  </si>
  <si>
    <t>TOTAL BALIKPAPAN</t>
  </si>
  <si>
    <t xml:space="preserve">Palangkaraya </t>
  </si>
  <si>
    <t>Toko Tanjung</t>
  </si>
  <si>
    <t>Fani Febriani</t>
  </si>
  <si>
    <t xml:space="preserve"> 27 Desember 2025</t>
  </si>
  <si>
    <t>Toko H fathur</t>
  </si>
  <si>
    <t>Siska</t>
  </si>
  <si>
    <t xml:space="preserve"> 8 April 2026</t>
  </si>
  <si>
    <t>TOTAL PALANGKARAYA</t>
  </si>
  <si>
    <t xml:space="preserve">AREA SAMARINDA </t>
  </si>
  <si>
    <t xml:space="preserve">AREA BALIKPAPAN </t>
  </si>
  <si>
    <t>FITRIANI (JOINT PER TANGGAL 7 FEBRUARI 2026)</t>
  </si>
  <si>
    <t>DESI SUSANTI (JOINT PER TANGGAL 20 FEBRUARI 2026)</t>
  </si>
  <si>
    <t>GRACE (JOINT PER TANGGAL 1 JULI 2026)</t>
  </si>
  <si>
    <t>RAMI (JOINT PER TANGGAL 1 JUNI 2026)</t>
  </si>
  <si>
    <t>Samarinda</t>
  </si>
  <si>
    <t>Toko Alam Subur</t>
  </si>
  <si>
    <t>Fitriani</t>
  </si>
  <si>
    <t xml:space="preserve"> 7 Februari 2026</t>
  </si>
  <si>
    <t>Toko Surya Indah</t>
  </si>
  <si>
    <t>Desi susanti</t>
  </si>
  <si>
    <t xml:space="preserve"> 20 Februari 2026</t>
  </si>
  <si>
    <t>TOTAL SAMARINDA</t>
  </si>
  <si>
    <t>1. stok toko masih tinggi, perputaran produk lambat, dan toko belum prioritas untuk tambah order ( Banjarmasin, Samarinda, dan Balikpapan)</t>
  </si>
  <si>
    <t>2. Beberapa outlet sudah di-cover sales atau motoris saat SPG Spreading, sehingga ruang closing SPG menjadi lebih terbatas (Banjarmasin, Samarinda, Balikpapan)</t>
  </si>
  <si>
    <t>3.  Traffic toko masih rendah, cuaca hujan, dan jam operasional outlet tidak optimal (Balikpapan).</t>
  </si>
  <si>
    <t>4. Support sampling belum ada di Area Palangkaraya</t>
  </si>
  <si>
    <t>5. Sampling sudah terdistribusikan ke SPG di area Balikpapan</t>
  </si>
  <si>
    <t>1. Prioritaskan kunjungan ke outlet yang masih memiliki peluang closing dan repeat order (Semua area).</t>
  </si>
  <si>
    <t>2. Terapkan booking order atau jadwal follow up yang jelas untuk outlet yang belum ambil barang hari ini (Semua area).</t>
  </si>
  <si>
    <t>3. Lakukan pengecekan ulang stok dan pergerakan barang pada outlet yang berulang kali menolak order (Banjarmasin, Samarinda, Balikpapan).</t>
  </si>
  <si>
    <t>4. Perkuat coaching SPG dalam handling objection terkait stok lama, slow moving, coverage sales, dan respon konsumen di outlet (Semua area).</t>
  </si>
  <si>
    <t>5. Atur kunjungan lebih awal agar peluang closing tidak hilang karena cuaca dan jam tutup outlet (Balikpapan).</t>
  </si>
  <si>
    <t>AREA PALANGKARAYA</t>
  </si>
  <si>
    <t>AREA MANADO</t>
  </si>
  <si>
    <t xml:space="preserve">  FANI FEBRIANI (JOINT PER TANGGAL 27 DESEMBER 2025)</t>
  </si>
  <si>
    <t>SISKA (JOINT PER TANGGAL 8 APRIL 2026)</t>
  </si>
  <si>
    <t>DEA (JOINT PER TANGGAL 15 MEI 2026)</t>
  </si>
  <si>
    <t xml:space="preserve"> REGINA (JOINT PER TANGGAL 15 JUNI 2026)</t>
  </si>
  <si>
    <t>Manado</t>
  </si>
  <si>
    <t>Kasih Setia</t>
  </si>
  <si>
    <t>Dea</t>
  </si>
  <si>
    <t>Lovely Jaya</t>
  </si>
  <si>
    <t>Regina</t>
  </si>
  <si>
    <t>TOTAL MANADO</t>
  </si>
  <si>
    <t>1. Banyak toko menolak order karena stok masih ada/full</t>
  </si>
  <si>
    <t>2. Customer cenderung fokus beli sembako/keperluan harian, minuman jadi kurang prioritas.</t>
  </si>
  <si>
    <t>3. Kebanyakan Lansia dan tidak biasa mengonsumsi minuman asam</t>
  </si>
  <si>
    <t>1. Jalankan strategi “booking order” untuk toko yang stop order kedepannya</t>
  </si>
  <si>
    <t>2. SPG melakukan sampling sesuai segmentasi usia</t>
  </si>
  <si>
    <t>3. SPG Spreading ketika stokis sepi</t>
  </si>
  <si>
    <t xml:space="preserve">4. SPG edukasi terkait produk extra joss ke konsumen/retail </t>
  </si>
  <si>
    <t>AREA MAKASSAR</t>
  </si>
  <si>
    <t>AMELIA HAKIM (JOINT DATE 04 FEBRUARI 2026)</t>
  </si>
  <si>
    <t>DIRA  (JOINT DATE 2 JUNI 2026)</t>
  </si>
  <si>
    <t xml:space="preserve"> NURHIJRAH (JOINT DATE  01 AGUSTUS 2025)</t>
  </si>
  <si>
    <t>Makassar</t>
  </si>
  <si>
    <t>Rahmat Pajaiang</t>
  </si>
  <si>
    <t>Amelia</t>
  </si>
  <si>
    <t xml:space="preserve"> 04 Februari 2026</t>
  </si>
  <si>
    <t>Bintang Terang</t>
  </si>
  <si>
    <t>Nadira</t>
  </si>
  <si>
    <t xml:space="preserve"> 01 Juni 2026</t>
  </si>
  <si>
    <t>Nurhijrah</t>
  </si>
  <si>
    <t xml:space="preserve"> 01 Agustus 2026</t>
  </si>
  <si>
    <t>TOTAL MAKASSAR</t>
  </si>
  <si>
    <t>SAKIT</t>
  </si>
  <si>
    <t>1. Customer sudah di edukasi terkait customer yang punya penyakit asam lambung</t>
  </si>
  <si>
    <t>3. sdh ada sales yg bawa ke warung2 dgn harga lebih murah + hadiah</t>
  </si>
  <si>
    <t>4. SPG atas nama Amelia OFF DAY</t>
  </si>
  <si>
    <t>2. Untuk toko stok masih ada: lakukan audit cepat rak (posisi, visibilitas, stok lama), lalu minta izin pindahkan ke area terlihat (dekat kasir/etalase depan) dan set jadwal cek sisa 3 hari.</t>
  </si>
  <si>
    <t>4. SPG fokus edukasi dan sampling saat stay maupun spreading</t>
  </si>
  <si>
    <t>WEEK 2</t>
  </si>
  <si>
    <t>No</t>
  </si>
  <si>
    <t>Area</t>
  </si>
  <si>
    <t>Nama SPG</t>
  </si>
  <si>
    <t>Jumlah HK</t>
  </si>
  <si>
    <t>MTD</t>
  </si>
  <si>
    <t>AVG SELLING</t>
  </si>
  <si>
    <t>DAILY SELLING IN CAN</t>
  </si>
  <si>
    <t>SELLING IN CAN</t>
  </si>
  <si>
    <t>SAMPLING CUP</t>
  </si>
  <si>
    <t>DISPLAY RAK</t>
  </si>
  <si>
    <t>SEBELUM COACHING</t>
  </si>
  <si>
    <t>AVG PERDAY</t>
  </si>
  <si>
    <t xml:space="preserve">BANJARMASIN </t>
  </si>
  <si>
    <t>Fatmawati</t>
  </si>
  <si>
    <t>SERI RAHMI (JOINT DATE 18 Januari 2026)</t>
  </si>
  <si>
    <t>KHOIRUNISA (JOINT DATE 10 Januari 2026)</t>
  </si>
  <si>
    <t>EMA (JOINT PER TANGGAL 2 MARET 2026)</t>
  </si>
  <si>
    <t>OFF DAY</t>
  </si>
  <si>
    <t>OFF TUKAR MINGGU</t>
  </si>
  <si>
    <t>ARNITA (JOINT PER TANGGAL 26 JANUARI 2026)</t>
  </si>
  <si>
    <t>FANI FEBRIANI (JOINT PER TANGGAL 27 DESEMBER 2025)</t>
  </si>
  <si>
    <t>EMILIA (JOINT PER TANGGAL 4 MARET 2026)</t>
  </si>
  <si>
    <t>WINDA (JOINT PER TANGGAL 4 DESEMBER 2025)</t>
  </si>
  <si>
    <t>NOR HASANAH (JOINT PER TANGGAL 5 MARET 2026)</t>
  </si>
  <si>
    <t>SPG</t>
  </si>
  <si>
    <t>VALUE sekarang</t>
  </si>
  <si>
    <t>COST (Rp)</t>
  </si>
  <si>
    <t>RATIO sekarang</t>
  </si>
  <si>
    <t>VALUE minimal (ratio 40%)</t>
  </si>
  <si>
    <t>Tambahan VALUE yang dibutuhkan</t>
  </si>
  <si>
    <t>Seri Rahmi</t>
  </si>
  <si>
    <t>Emaral Hulda</t>
  </si>
  <si>
    <t>Winda</t>
  </si>
  <si>
    <t>Nor Hasanah</t>
  </si>
  <si>
    <t>Palangkaraya</t>
  </si>
  <si>
    <t>Emilia</t>
  </si>
  <si>
    <t>Tarakan</t>
  </si>
  <si>
    <t>Arnita</t>
  </si>
  <si>
    <t>Desi Susanti</t>
  </si>
  <si>
    <t>Total VALUE sekarang</t>
  </si>
  <si>
    <t>Total COST</t>
  </si>
  <si>
    <t>Gap VALUE</t>
  </si>
  <si>
    <t>HK MTD</t>
  </si>
  <si>
    <t>Avg/day sekarang</t>
  </si>
  <si>
    <t>Actual MTD</t>
  </si>
  <si>
    <t>Value MTD</t>
  </si>
  <si>
    <t>Expense full bulan</t>
  </si>
  <si>
    <t>Estimasi actual closing</t>
  </si>
  <si>
    <t>Estimasi value closing</t>
  </si>
  <si>
    <t>Estimasi ACH closing</t>
  </si>
  <si>
    <t>Estimasi ratio closing</t>
  </si>
  <si>
    <t>Metric</t>
  </si>
  <si>
    <t>Februari Closing</t>
  </si>
  <si>
    <t>Maret MTD s/d 26</t>
  </si>
  <si>
    <t>Estimasi Closing Maret</t>
  </si>
  <si>
    <t>Actual (pcs)</t>
  </si>
  <si>
    <t>Average/day</t>
  </si>
  <si>
    <t>Value</t>
  </si>
  <si>
    <t>Expense SPG</t>
  </si>
  <si>
    <r>
      <t xml:space="preserve">Rp39.301.438 </t>
    </r>
    <r>
      <rPr>
        <i/>
        <sz val="11"/>
        <color theme="1"/>
        <rFont val="Calibri"/>
        <family val="2"/>
        <scheme val="minor"/>
      </rPr>
      <t>(prorate)</t>
    </r>
  </si>
  <si>
    <t>Ratio</t>
  </si>
  <si>
    <r>
      <t>42,0%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(fair MTD)</t>
    </r>
  </si>
  <si>
    <r>
      <t>42,9%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(closing estimate)</t>
    </r>
  </si>
  <si>
    <t>Feb HK</t>
  </si>
  <si>
    <t>Feb Actual</t>
  </si>
  <si>
    <t>Feb Avg/day</t>
  </si>
  <si>
    <t>Feb Value</t>
  </si>
  <si>
    <t>Feb Expense</t>
  </si>
  <si>
    <t>Feb Ratio</t>
  </si>
  <si>
    <t>Est. Mar HK</t>
  </si>
  <si>
    <t>Est. Mar Actual</t>
  </si>
  <si>
    <t>Est. Mar Avg/day</t>
  </si>
  <si>
    <t>Est. Mar Value</t>
  </si>
  <si>
    <t>Est. Mar Expense</t>
  </si>
  <si>
    <t>Est. Mar Ratio</t>
  </si>
  <si>
    <t>Team leader</t>
  </si>
  <si>
    <t>Tahun</t>
  </si>
  <si>
    <t>Month</t>
  </si>
  <si>
    <t>Nama Toko</t>
  </si>
  <si>
    <t>Item type</t>
  </si>
  <si>
    <t xml:space="preserve"> APRIL 2026</t>
  </si>
  <si>
    <t>Remarks / Cup</t>
  </si>
  <si>
    <t>Solehudin</t>
  </si>
  <si>
    <t>April</t>
  </si>
  <si>
    <t>Toko Ahim, H Tony ,Aini dan Farez Barokah</t>
  </si>
  <si>
    <t>Sampling</t>
  </si>
  <si>
    <t>Toko  Syahran,, H Salim, dan Saniah</t>
  </si>
  <si>
    <t>VACANT</t>
  </si>
  <si>
    <t>Toko Damai jaya</t>
  </si>
  <si>
    <t>winda</t>
  </si>
  <si>
    <t>Toko h .fathur</t>
  </si>
  <si>
    <t xml:space="preserve">Samarinda </t>
  </si>
  <si>
    <t>Keni</t>
  </si>
  <si>
    <t>Toko Hamzah/Restu</t>
  </si>
  <si>
    <t xml:space="preserve">Manado </t>
  </si>
  <si>
    <t>Syaloom</t>
  </si>
  <si>
    <t xml:space="preserve"> Maret 2026</t>
  </si>
  <si>
    <t>Maret</t>
  </si>
  <si>
    <t xml:space="preserve">Tumbler </t>
  </si>
  <si>
    <t>Toko Yeyen Ibak, Mubaraq, dan Yudi</t>
  </si>
  <si>
    <t>Toko PT Banyu Barokah dan Rahmah</t>
  </si>
  <si>
    <t xml:space="preserve">Tarakan </t>
  </si>
  <si>
    <t>PICA</t>
  </si>
  <si>
    <t>PIC</t>
  </si>
  <si>
    <t>STATUS</t>
  </si>
  <si>
    <t>PROBLEM</t>
  </si>
  <si>
    <t xml:space="preserve">IDENTIFIKASI </t>
  </si>
  <si>
    <t>CORRECTIVE</t>
  </si>
  <si>
    <t xml:space="preserve">ACTION </t>
  </si>
  <si>
    <t>DUE DATE</t>
  </si>
  <si>
    <t>BANJARMASIN</t>
  </si>
  <si>
    <t>Repeat order belum jalan karena stok warung masih banyak &amp; banyak warung sudah ambil dari motoris, Edukasi produk belum merata, beberapa toko belum paham Extra Joss Ultimate</t>
  </si>
  <si>
    <t>Alokasi Gimmick Tumbler Untuk SPG, Warung masih punya stok lama, jadi menunda ambil lagi dari toko</t>
  </si>
  <si>
    <t>Fokus habiskan stok + buat list follow up warung yang sudah pernah ambil</t>
  </si>
  <si>
    <t>SPG buat daftar warung yang sudah ambil, kunjungan ulang H+2 untuk dorong tambah 6–12 can lewat toko grosir + minta nomor WA owner untuk follow up</t>
  </si>
  <si>
    <t xml:space="preserve">12 Februari 2026 </t>
  </si>
  <si>
    <t>TL Solehudin + Seri/Nisa/Herlisa/Siti</t>
  </si>
  <si>
    <t xml:space="preserve">DONE </t>
  </si>
  <si>
    <t>Refresh product knowledge</t>
  </si>
  <si>
    <t>Coaching ulang 30 menit + wajib pakai “pitch 30 detik” ke setiap toko, lalu minta toko sebut ulang poin produk untuk cek pemahaman product</t>
  </si>
  <si>
    <t>Recovery display dan foto bukti</t>
  </si>
  <si>
    <t>Beresin facing + taruh di posisi paling terlihat (eye level/kasir) lalu kirim foto before–after di grup</t>
  </si>
  <si>
    <t>BALIKPAPAN</t>
  </si>
  <si>
    <t>SAMPLING DAN GIMMICK</t>
  </si>
  <si>
    <t xml:space="preserve">Stock Di Store Perdana  </t>
  </si>
  <si>
    <t xml:space="preserve">* TL Alignment Dengan AM, SCO, Salesman, Dan Pihak Store Terkait OOS Di Toko </t>
  </si>
  <si>
    <t xml:space="preserve">*TL Sudah Koordinasi By Chat WA Dengan Team  ( Mas Erizal ) di Tanggal 05 dan 06 Februari 2026 </t>
  </si>
  <si>
    <t>TL ABI , TEAM SALESMAN , SCO</t>
  </si>
  <si>
    <t>In Process</t>
  </si>
  <si>
    <t xml:space="preserve">* TL Mengalokasikan SPG Ke Store Yang Masih Ready Untuk Stock Extra Joss Ultimate </t>
  </si>
  <si>
    <t xml:space="preserve">*TL  PERIODE TANGGAL 31 JANUARI - 06 FEBRUARI 2025 ,MEMBANTU LOADING PRODUCT EXTRAJOSS ULTIMATE DARI STORE STOCKIST DI MAMPANG DAN JUGA UJANG PLASTIK PONDOK LABU UNTUK DI ALOKASIKAN KE SPG YUSNITA SETIAP PAGI SEBANYAK 4 KARTON PER DAY </t>
  </si>
  <si>
    <t>TL Soleh , SPG WINDA</t>
  </si>
  <si>
    <t>In Progress</t>
  </si>
  <si>
    <t>TARAKAN</t>
  </si>
  <si>
    <t>10 Februari 2026</t>
  </si>
  <si>
    <t>PALANGKARAYA</t>
  </si>
  <si>
    <t xml:space="preserve"> Tidak Ada Space Untuk SPG Melakukan Stay </t>
  </si>
  <si>
    <t xml:space="preserve">*TL Propose Ke SCO Untuk Mengalokasikan SPG Ke Store Lain Dengan Traffic Yang lebih Ramai Dan Juga Dengan Type Grosir Yang Ada Space untuk SPG dapat Stay Selama 1 - 2 Jam di Store </t>
  </si>
  <si>
    <t xml:space="preserve">* TL Concall Dengan SCO Terkait New Store Untuk SPG </t>
  </si>
  <si>
    <t xml:space="preserve">TL Solehudin, SCO, SPG </t>
  </si>
  <si>
    <t>SAMARINDA</t>
  </si>
  <si>
    <t xml:space="preserve">AWARENESS DAN MINAT BELI CUSTOMER MINIM  </t>
  </si>
  <si>
    <t xml:space="preserve"> Banyak Customer End User Belum Mengetahui Product Extra Joss Ultimate </t>
  </si>
  <si>
    <t xml:space="preserve">* SPG Melakukan Edukasi Ke Customer Dengan Menonjolkan Keunggulan Product Extra Joss Ultimate ( Highlight : Mengandung Green Coffee dan manfaat Green Coffee) pada saat sampling </t>
  </si>
  <si>
    <t xml:space="preserve">*SPG Searching By Google Untuk  Area Yang Akan Di Sampling Seperti Bengkel, Sarana Olahraga ( GOR ) ,Pasar Modern, Kantin, Ruko Ruko , Pergudangan  </t>
  </si>
  <si>
    <t>TL Solehudin  SPG Fitriani</t>
  </si>
  <si>
    <t>IDENTIFIKASI</t>
  </si>
  <si>
    <t>ACTION</t>
  </si>
  <si>
    <t>Repeat order belum maksimal</t>
  </si>
  <si>
    <t>Sebagian toko/retailer under grosir masih banyak stok dan belum prioritas tambah order</t>
  </si>
  <si>
    <t>Fokus habiskan stok berjalan dan dorong order kecil</t>
  </si>
  <si>
    <t>SPG cek stok aktual di toko, buat list outlet yang stoknya mulai bergerak, lalu follow up H+2 untuk order kecil 6–12 can</t>
  </si>
  <si>
    <t>Every day</t>
  </si>
  <si>
    <t>TL Soleh, Ika, Khoirunisa, Herlisa, Fatmawati, SCO/Sales</t>
  </si>
  <si>
    <t>Konsumen lebih minat Extra Joss sachet</t>
  </si>
  <si>
    <t>Sebagian pelanggan menilai versi sachet lebih ekonomis dibanding kaleng</t>
  </si>
  <si>
    <t>Perkuat edukasi product knowledge dan benefit Extra Joss Ultimate</t>
  </si>
  <si>
    <t>SPG wajib pakai pitch singkat saat offering, highlight kandungan/benefit produk, lalu arahkan trial melalui sampling saat stay outlet</t>
  </si>
  <si>
    <t>TL Soleh, All SPG Banjarmasin</t>
  </si>
  <si>
    <t>Coverage SPG belum maksimal</t>
  </si>
  <si>
    <t>Fatmawati dan Herlisa ada izin sakit sehingga coverage outlet tidak full</t>
  </si>
  <si>
    <t>Monitoring absensi dan backup coverage outlet prioritas</t>
  </si>
  <si>
    <t>TL follow up kondisi SPG, atur ulang outlet prioritas, dan arahkan SPG aktif untuk bantu follow up outlet yang belum ter-cover</t>
  </si>
  <si>
    <t>TL Soleh, Fatmawati, Herlisa</t>
  </si>
  <si>
    <t>Sebagian pelanggan sudah beli dari sales lain</t>
  </si>
  <si>
    <t>Outlet sudah pernah dilayani sales/motoris sehingga peluang closing SPG lebih terbatas</t>
  </si>
  <si>
    <t>Perkuat koordinasi dengan sales dan mapping outlet</t>
  </si>
  <si>
    <t>SPG validasi barang masuk dari sales lain, catat outlet yang sudah cover, lalu fokus ke outlet yang masih bisa repeat/order tambahan</t>
  </si>
  <si>
    <t>TL Soleh, SPG, SCO/Sales</t>
  </si>
  <si>
    <t>Traffic toko rendah dan cuaca menghambat aktivitas selling</t>
  </si>
  <si>
    <t>Outlet tidak selalu ramai, hujan, serta jam operasional toko tidak optimal</t>
  </si>
  <si>
    <t>Atur jam kunjungan lebih awal dan cari titik alternatif sekitar outlet</t>
  </si>
  <si>
    <t>SPG visit lebih pagi, spreading ke titik ramai sekitar toko, dan update peluang closing harian ke TL</t>
  </si>
  <si>
    <t>TL Soleh, Tiara, Jeprika</t>
  </si>
  <si>
    <t>Stok outlet masih tinggi</t>
  </si>
  <si>
    <t>Perputaran produk lambat sehingga toko belum mau tambah order</t>
  </si>
  <si>
    <t>Cek pergerakan stok dan dorong booking order</t>
  </si>
  <si>
    <t>SPG cek stok awal/akhir, tanyakan barang keluar ke toko, lalu buat jadwal follow up untuk repeat order kecil</t>
  </si>
  <si>
    <t>TL Soleh, Tiara, Jeprika, SCO/Sales</t>
  </si>
  <si>
    <t>Outlet sudah di-cover sales/motoris</t>
  </si>
  <si>
    <t>Ruang closing SPG menjadi terbatas karena sebagian toko sudah dilayani channel lain</t>
  </si>
  <si>
    <t>Koordinasi outlet prioritas dengan sales/SCO</t>
  </si>
  <si>
    <t>TL koordinasi dengan sales untuk mapping outlet yang belum ter-cover dan arahkan SPG fokus ke outlet yang masih punya peluang closing</t>
  </si>
  <si>
    <t>TL Soleh, SCO/Sales, Tiara, Jeprika</t>
  </si>
  <si>
    <t>Sampling perlu dimaksimalkan</t>
  </si>
  <si>
    <t>Sampling sudah terdistribusi, namun perlu dipakai untuk dorong trial dan closing</t>
  </si>
  <si>
    <t>Maksimalkan sampling sebagai alat edukasi dan penawaran</t>
  </si>
  <si>
    <t>SPG wajib sampling ke customer potensial, dokumentasi aktivitas, dan catat respon konsumen sebagai bahan evaluasi</t>
  </si>
  <si>
    <t>Support sampling belum tersedia/kurang optimal</t>
  </si>
  <si>
    <t>Aktivitas edukasi dan trial ke customer belum maksimal tanpa sampling yang cukup</t>
  </si>
  <si>
    <t>Koordinasi pemenuhan sampling/tester</t>
  </si>
  <si>
    <t>TL follow up ketersediaan sampling ke PIC/SCO, SPG tetap edukasi produk sambil menunggu support sampling</t>
  </si>
  <si>
    <t>TL Soleh, Fani, Siska, SCO/PIC</t>
  </si>
  <si>
    <t>Banyak toko menolak order karena stok masih full</t>
  </si>
  <si>
    <t>Toko belum prioritas repeat karena stok lama masih tersedia</t>
  </si>
  <si>
    <t>Jalankan booking order dan monitoring stok</t>
  </si>
  <si>
    <t>SPG cek stok toko, buat estimasi kapan stok habis, lalu follow up booking order sebelum stok benar-benar habis</t>
  </si>
  <si>
    <t>TL Soleh, Fani, Siska</t>
  </si>
  <si>
    <t>Minat customer belum stabil</t>
  </si>
  <si>
    <t>Customer lebih fokus belanja sembako/keperluan harian sehingga minuman kurang prioritas</t>
  </si>
  <si>
    <t>Spreading ke titik customer yang lebih sesuai</t>
  </si>
  <si>
    <t>SPG spreading ke area ramai seperti pasar, café, kampus, dan titik pekerja untuk mencari customer potensial</t>
  </si>
  <si>
    <t>Segmentasi customer kurang sesuai</t>
  </si>
  <si>
    <t>Banyak customer lansia dan tidak terbiasa konsumsi minuman rasa asam</t>
  </si>
  <si>
    <t>Sesuaikan pendekatan sampling dengan segmentasi usia</t>
  </si>
  <si>
    <t>SPG fokus offering ke customer usia produktif/pekerja dan tetap edukasi secara halus ke customer lansia tanpa memaksa pembelian</t>
  </si>
  <si>
    <t>Awareness dan minat beli customer masih perlu diperkuat</t>
  </si>
  <si>
    <t>Customer masih lebih fokus belanja sembako/keperluan harian dibanding minuman energi</t>
  </si>
  <si>
    <t>Perkuat edukasi manfaat produk saat sampling</t>
  </si>
  <si>
    <t>SPG wajib edukasi benefit Extra Joss Ultimate saat offering, terutama ke customer pekerja, mahasiswa, dan area aktivitas tinggi</t>
  </si>
  <si>
    <t>TL Soleh, Fitriani, Desi Susanti</t>
  </si>
  <si>
    <t>Beberapa outlet masih menahan repeat order</t>
  </si>
  <si>
    <t>Stok warung/toko masih ada sehingga order tambahan belum menjadi prioritas</t>
  </si>
  <si>
    <t>Dorong repeat order kecil dan follow up berkala</t>
  </si>
  <si>
    <t>SPG cek sell out harian toko, tawarkan order kecil, dan buat reminder follow up outlet yang belum mau repeat</t>
  </si>
  <si>
    <t>TL Soleh, Fitriani, Desi Susanti, SCO/Sales</t>
  </si>
  <si>
    <t>Beberapa outlet sudah masuk coverage sales sehingga peluang closing SPG terbatas</t>
  </si>
  <si>
    <t>Mapping ulang outlet potensial</t>
  </si>
  <si>
    <t>TL koordinasi dengan sales/SCO untuk menentukan outlet yang masih bisa dioptimalkan SPG dan menghindari overlap coverage</t>
  </si>
  <si>
    <t>TL Soleh, SCO/Sales, Fitriani, Desi Susanti</t>
  </si>
  <si>
    <t>MAKASSAR</t>
  </si>
  <si>
    <t>Customer belum menjadikan produk sebagai prioritas pembelian</t>
  </si>
  <si>
    <t>Customer cenderung fokus ke sembako/keperluan harian sehingga minuman energi kurang prioritas</t>
  </si>
  <si>
    <t>Perkuat edukasi dan spreading saat toko sepi</t>
  </si>
  <si>
    <t>SPG edukasi saat stay outlet, lalu spreading ke titik yang lebih ramai ketika stokis sepi</t>
  </si>
  <si>
    <t>TL Soleh, Amelia</t>
  </si>
  <si>
    <t>Pembelian 12 pcs dianggap terlalu banyak untuk mendapatkan hadiah</t>
  </si>
  <si>
    <t>Customer keberatan dengan minimal pembelian untuk gimmick</t>
  </si>
  <si>
    <t>Evaluasi pendekatan gimmick dan tawarkan pembelian bertahap</t>
  </si>
  <si>
    <t>SPG tawarkan opsi beli bertahap/ajak pembelian kolektif, lalu catat feedback customer terkait mekanisme gimmick</t>
  </si>
  <si>
    <t>TL Soleh, Amelia, PIC/Sales</t>
  </si>
  <si>
    <t>Ada concern customer terkait asam lambung</t>
  </si>
  <si>
    <t>Customer perlu edukasi lebih hati-hati terkait konsumsi produk</t>
  </si>
  <si>
    <t>Edukasi product knowledge sesuai kondisi customer</t>
  </si>
  <si>
    <t>SPG tidak hard selling ke customer yang punya concern kesehatan, fokus edukasi umum dan arahkan ke customer yang lebih sesuai</t>
  </si>
  <si>
    <t>Coverage area belum maksimal</t>
  </si>
  <si>
    <t>Area Makassar masih hanya 1 SPG aktif sehingga pencapaian area terbatas</t>
  </si>
  <si>
    <t>Follow up pemenuhan manpower vacant</t>
  </si>
  <si>
    <t>TL follow up kandidat/SPG pengganti dan koordinasi dengan Arco/Sales agar coverage outlet bisa lebih maksimal</t>
  </si>
  <si>
    <t>TL Soleh, Amelia, Arco/Sales, PIC</t>
  </si>
  <si>
    <t>MANADO</t>
  </si>
  <si>
    <t>Belum ada actual selling dan HK berjalan</t>
  </si>
  <si>
    <t>Data WIP masih 0 HK dan 0 sales sehingga aktivitas belum produktif</t>
  </si>
  <si>
    <t>Pastikan status running SPG dan kesiapan outlet</t>
  </si>
  <si>
    <t>TL follow up join/running date SPG, pastikan training, seragam, surat tugas, dan outlet sudah siap sebelum mulai report harian</t>
  </si>
  <si>
    <t>TL Soleh, Indriani, Bella, PIC/Admin</t>
  </si>
  <si>
    <t>Reporting belum bisa dievaluasi</t>
  </si>
  <si>
    <t>Belum ada input selling, value, dan absensi berjalan</t>
  </si>
  <si>
    <t>Wajibkan input report sejak hari pertama running</t>
  </si>
  <si>
    <t>SPG wajib isi absensi, daily report, dokumentasi timestamp, dan upload struk/nota jika sudah mulai selling</t>
  </si>
  <si>
    <t>Hari pertama running</t>
  </si>
  <si>
    <t>TL Soleh, SPG Manado, Admin/PIC</t>
  </si>
  <si>
    <t>PICA AREA BALIKPAPAN, SAMARINDA, MAKASSAR &amp; MANADO</t>
  </si>
  <si>
    <t>Achievement selling rendah dan avg belum maksimal serta pencapaian spg selalu rendah</t>
  </si>
  <si>
    <t>Toko Perdana: harga outlet pernah Rp5.000, seharusnya Rp5.500 include gimmick min. 6 pcs. Ada motoris 3-4 orang di grosir, stok/penjualan bercampur dengan motoris, customer banyak memilih sachet, dan ada temuan harga lebih murah Rp4.000 dan SPG masih dalam 1 Grosir yang sama.</t>
  </si>
  <si>
    <t>SPG fokus cari toko potensial, validasi harga aktual, dan dorong selling di outlet/retailer yang belum tertutup motoris.</t>
  </si>
  <si>
    <t xml:space="preserve">TL minta update Yorita &amp; Rami: traffic toko, harga aktual, stok, kendala selling/sampling, outlet yang sudah didatangi, serta dokumentasi harga murah. TL koordinasi ke SCO/AM untuk membuka outlet baru untuk spg </t>
  </si>
  <si>
    <t>TL Soleh, SPG Balikpapan</t>
  </si>
  <si>
    <t>Achievement selling rendah dan order perdus belum maksimal.</t>
  </si>
  <si>
    <t>Toko Surya Indah tidak bisa pinjam barang lagi sejak 6 Juni karena ada selisih. Traffic outlet 40+ customer, namun customer sudah punya catatan belanja dan sebagian langsung diantar pihak grosir/retailer. Barang keluar lebih banyak per pcs, bukan perdus.</t>
  </si>
  <si>
    <t>SPG diarahkan push outlet tambahan yang bisa transaksi langsung, manfaatkan sampling yang cukup berdampak, dan gunakan gimmick tumbler untuk bantu closing.</t>
  </si>
  <si>
    <t xml:space="preserve">TL kordinasi ke Area manager dan sco area samarinda untuk mencari outlet yang potensi </t>
  </si>
  <si>
    <t>TL Soleh, SPG Samarinda</t>
  </si>
  <si>
    <t>Selling rendah karena kendala harga toko, harga motoris, dan traffic belum dikonversi maksimal.</t>
  </si>
  <si>
    <t>Kariwisi Jaya traffic &gt;30 customer, Bintang Terang traffic kurang lebih 50 customer jam 08.00-12.00, tetapi harga toko Rp7.000 sementara motoris Rp5.500. Toko Iring ada temuan harga Rp5.500 dan sales Rp4.000. Customer lebih prioritas sachet/sensitif harga; ada beban sticker/gimmick yang membuat SPG nombok.</t>
  </si>
  <si>
    <t>SPG fokus outlet dengan harga sudah disesuaikan, validasi harga motoris/sales, dan dorong edukasi + sampling ke retailer/pasar/terminal untuk cari repeat order.</t>
  </si>
  <si>
    <t>TL minta update Amelia, Nadira, Alfia: nama toko, traffic, harga jual aktual, harga motoris/sales, kendala sticker/gimmick, hasil sampling, dan outlet potensial. TL koordinasi ke SCO untuk harga outlet agar tidak kalah dari motoris.</t>
  </si>
  <si>
    <t>TL Soleh, SPG Makassar, Arco/SCO/Sales</t>
  </si>
  <si>
    <t>Done</t>
  </si>
  <si>
    <t>SPG belum bisa achieve minimal 1 karton dan aktivitas selling belum maksimal.</t>
  </si>
  <si>
    <t>SPG tidak bisa hanya stay di toko karena penjualan minim. Untuk cari omzet harus mobile ke outlet/warung kecil sekitar toko, tetapi SPG belum lancar membawa kendaraan sehingga spreading</t>
  </si>
  <si>
    <t xml:space="preserve">Dikarenakan SPG belum lancara membawa motor TL kordinasi ke SCO untuk replacement spg </t>
  </si>
  <si>
    <t xml:space="preserve">TL melakukan training pada tanggal 21 Juni 2026 atas nama Regina sebagai pengganti Dewi di area manado </t>
  </si>
  <si>
    <t>TL Soleh, SPG Arco area Manado</t>
  </si>
  <si>
    <t>WIP DI BULAN AGUSTUS 1-31 (UPDATE DATA 1-17 AGUSTUS 2026)</t>
  </si>
  <si>
    <t>NAMA</t>
  </si>
  <si>
    <t>ACCH BY ACTUAL (%)</t>
  </si>
  <si>
    <t>ACH</t>
  </si>
  <si>
    <t>AVERAGE</t>
  </si>
  <si>
    <t>ACCHV BY MONTH (%)</t>
  </si>
  <si>
    <t>SELLING BY VALUE (Rp)</t>
  </si>
  <si>
    <t>RATIO</t>
  </si>
  <si>
    <t>GAJI ACTUAL BY HK</t>
  </si>
  <si>
    <t>GAJI BY HK</t>
  </si>
  <si>
    <t>GAP KARTON PER DAY</t>
  </si>
  <si>
    <t>GAP CAN PER DAY</t>
  </si>
  <si>
    <t>TARGET VALUE</t>
  </si>
  <si>
    <t>NEEDS VALUE</t>
  </si>
  <si>
    <t>GAP RATIO</t>
  </si>
  <si>
    <t>KOMITMEN RATIO</t>
  </si>
  <si>
    <t>TARGET PER CAN 100%</t>
  </si>
  <si>
    <t>TARGET PER KARTON 100%</t>
  </si>
  <si>
    <t>TARGET 100%</t>
  </si>
  <si>
    <t>SISA 100%</t>
  </si>
  <si>
    <t>SISA KARTON KE 100%</t>
  </si>
  <si>
    <t>Joint Date</t>
  </si>
  <si>
    <t>W1</t>
  </si>
  <si>
    <t>W2</t>
  </si>
  <si>
    <t>W3</t>
  </si>
  <si>
    <t>W4</t>
  </si>
  <si>
    <t>Nurul</t>
  </si>
  <si>
    <t>GRAND TOTAL BANJARMASIN</t>
  </si>
  <si>
    <t>GRAND TOTAL BALIKPAPAN</t>
  </si>
  <si>
    <t>GRAND TOTAL PALANGKARAYA</t>
  </si>
  <si>
    <t>GRAND TOTAL SAMARINDA</t>
  </si>
  <si>
    <t>Dira/Nadira</t>
  </si>
  <si>
    <t>GRAND TOTAL MAKASSAR</t>
  </si>
  <si>
    <t>GRAND TOTAL MANADO</t>
  </si>
  <si>
    <t>GRAND TOTAL COVER</t>
  </si>
  <si>
    <t>PLANNING HK SPG AGUSTUS 2026 - POSISI 1-17 AGUSTUS</t>
  </si>
  <si>
    <t>Target 24 HK | 25 Agustus LIBUR | OFF Mingguan: semua SPG hari Minggu, Fani hari Senin, Siska hari Kamis</t>
  </si>
  <si>
    <t>HK ACTUAL 1-17</t>
  </si>
  <si>
    <t>TARGET HK</t>
  </si>
  <si>
    <t>SISA HK</t>
  </si>
  <si>
    <t>PROYEKSI HK</t>
  </si>
  <si>
    <t>GAP HK</t>
  </si>
  <si>
    <t>ZONA SPG AGUSTUS 2026 - UPDATE 1-17 AGUSTUS</t>
  </si>
  <si>
    <t>HK ACTUAL</t>
  </si>
  <si>
    <t>ACHIEVEMENT</t>
  </si>
  <si>
    <t>GAP KARTON/HARI</t>
  </si>
  <si>
    <t>ZONA</t>
  </si>
  <si>
    <t>STATUS TARGET</t>
  </si>
  <si>
    <t>23/08/2026 (MINGGU)</t>
  </si>
  <si>
    <t>Saniah</t>
  </si>
  <si>
    <t>Bougenville dan rara sudiang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</si>
</sst>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p&quot;#,##0;[Red]\-&quot;Rp&quot;#,##0"/>
    <numFmt numFmtId="44" formatCode="_-&quot;Rp&quot;* #,##0.00_-;\-&quot;Rp&quot;* #,##0.00_-;_-&quot;Rp&quot;* &quot;-&quot;??_-;_-@_-"/>
    <numFmt numFmtId="164" formatCode="&quot;Rp&quot;#,##0.00"/>
    <numFmt numFmtId="165" formatCode="&quot;Rp&quot;#,##0"/>
  </numFmts>
  <fonts count="29"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b/>
      <sz val="10"/>
      <color theme="1"/>
      <name val="Calibri"/>
    </font>
    <font>
      <b/>
      <sz val="11"/>
      <name val="Calibri"/>
    </font>
    <font>
      <sz val="10"/>
      <color theme="1"/>
      <name val="Calibri"/>
    </font>
    <font>
      <b/>
      <sz val="12"/>
      <name val="Calibri"/>
    </font>
    <font>
      <sz val="11"/>
      <color theme="1"/>
      <name val="Calibri"/>
    </font>
    <font>
      <sz val="11"/>
      <name val="Calibri"/>
    </font>
    <font>
      <b/>
      <sz val="11"/>
      <name val="Calibri"/>
    </font>
    <font>
      <b/>
      <sz val="11"/>
      <color theme="1"/>
      <name val="Calibri"/>
    </font>
    <font>
      <sz val="11"/>
      <color theme="10"/>
      <name val="Calibri"/>
    </font>
    <font>
      <sz val="10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0"/>
      <color rgb="FF000000"/>
      <name val="Carlito"/>
    </font>
    <font>
      <sz val="10"/>
      <color rgb="FF000000"/>
      <name val="Carlito"/>
    </font>
    <font>
      <sz val="11"/>
      <color theme="1"/>
      <name val="Calibri"/>
    </font>
    <font>
      <b/>
      <sz val="10"/>
      <name val="Calibri"/>
    </font>
    <font>
      <i/>
      <sz val="10"/>
      <color theme="1"/>
      <name val="Calibri"/>
    </font>
    <font>
      <b/>
      <sz val="9"/>
      <color theme="1"/>
      <name val="Calibri"/>
    </font>
    <font>
      <sz val="10"/>
      <color theme="1"/>
      <name val="Calibri"/>
    </font>
    <font>
      <i/>
      <sz val="10"/>
      <color rgb="FFFFFFFF"/>
      <name val="Calibri"/>
    </font>
    <font>
      <sz val="10"/>
      <color rgb="FFFFFFFF"/>
      <name val="Calibri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000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theme="0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A9C4E2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B4C7E7"/>
      </patternFill>
    </fill>
    <fill>
      <patternFill patternType="solid">
        <fgColor rgb="FFFFFF00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342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2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/>
    <xf numFmtId="0" fontId="2" fillId="8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6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6" fontId="0" fillId="0" borderId="0" xfId="0" applyNumberFormat="1" applyAlignment="1">
      <alignment horizontal="center" vertical="center"/>
    </xf>
    <xf numFmtId="6" fontId="11" fillId="0" borderId="0" xfId="0" applyNumberFormat="1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9" fontId="0" fillId="0" borderId="0" xfId="1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20" fontId="0" fillId="0" borderId="0" xfId="0" applyNumberFormat="1"/>
    <xf numFmtId="165" fontId="8" fillId="10" borderId="1" xfId="0" applyNumberFormat="1" applyFont="1" applyFill="1" applyBorder="1" applyAlignment="1">
      <alignment horizontal="center" vertical="center"/>
    </xf>
    <xf numFmtId="165" fontId="8" fillId="11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16" fontId="0" fillId="0" borderId="10" xfId="0" applyNumberFormat="1" applyBorder="1" applyAlignment="1">
      <alignment horizontal="center" vertical="center" wrapText="1"/>
    </xf>
    <xf numFmtId="0" fontId="4" fillId="1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 wrapText="1"/>
    </xf>
    <xf numFmtId="0" fontId="0" fillId="12" borderId="0" xfId="0" applyFill="1"/>
    <xf numFmtId="0" fontId="6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9" fontId="6" fillId="12" borderId="0" xfId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3" fontId="0" fillId="12" borderId="0" xfId="0" applyNumberFormat="1" applyFill="1" applyAlignment="1">
      <alignment horizontal="center" vertical="center"/>
    </xf>
    <xf numFmtId="164" fontId="6" fillId="12" borderId="0" xfId="0" applyNumberFormat="1" applyFont="1" applyFill="1" applyAlignment="1">
      <alignment horizontal="center"/>
    </xf>
    <xf numFmtId="164" fontId="0" fillId="12" borderId="0" xfId="0" applyNumberFormat="1" applyFill="1" applyAlignment="1">
      <alignment horizontal="center"/>
    </xf>
    <xf numFmtId="9" fontId="0" fillId="12" borderId="0" xfId="1" applyFont="1" applyFill="1" applyBorder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15" fontId="0" fillId="12" borderId="0" xfId="0" applyNumberFormat="1" applyFill="1" applyAlignment="1">
      <alignment horizontal="center" vertical="center"/>
    </xf>
    <xf numFmtId="9" fontId="4" fillId="12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/>
    </xf>
    <xf numFmtId="164" fontId="4" fillId="12" borderId="0" xfId="1" applyNumberFormat="1" applyFont="1" applyFill="1" applyBorder="1" applyAlignment="1">
      <alignment horizontal="center"/>
    </xf>
    <xf numFmtId="0" fontId="4" fillId="12" borderId="0" xfId="0" applyFont="1" applyFill="1" applyAlignment="1">
      <alignment horizontal="center"/>
    </xf>
    <xf numFmtId="164" fontId="2" fillId="12" borderId="0" xfId="0" applyNumberFormat="1" applyFont="1" applyFill="1" applyAlignment="1">
      <alignment horizontal="center" vertical="center"/>
    </xf>
    <xf numFmtId="9" fontId="2" fillId="12" borderId="0" xfId="1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164" fontId="6" fillId="12" borderId="0" xfId="0" applyNumberFormat="1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164" fontId="6" fillId="12" borderId="0" xfId="2" applyNumberFormat="1" applyFont="1" applyFill="1" applyBorder="1" applyAlignment="1">
      <alignment horizontal="center" vertical="center"/>
    </xf>
    <xf numFmtId="15" fontId="0" fillId="12" borderId="0" xfId="0" applyNumberFormat="1" applyFill="1" applyAlignment="1">
      <alignment horizontal="center"/>
    </xf>
    <xf numFmtId="3" fontId="4" fillId="12" borderId="0" xfId="0" applyNumberFormat="1" applyFont="1" applyFill="1" applyAlignment="1">
      <alignment horizontal="center" vertical="center"/>
    </xf>
    <xf numFmtId="9" fontId="0" fillId="12" borderId="0" xfId="1" applyFont="1" applyFill="1" applyBorder="1" applyAlignment="1">
      <alignment horizontal="center"/>
    </xf>
    <xf numFmtId="9" fontId="4" fillId="12" borderId="0" xfId="1" applyFont="1" applyFill="1" applyBorder="1" applyAlignment="1">
      <alignment horizontal="center" vertical="center"/>
    </xf>
    <xf numFmtId="0" fontId="4" fillId="12" borderId="0" xfId="1" applyNumberFormat="1" applyFont="1" applyFill="1" applyBorder="1" applyAlignment="1">
      <alignment horizontal="center" vertical="center"/>
    </xf>
    <xf numFmtId="9" fontId="2" fillId="12" borderId="0" xfId="1" applyFont="1" applyFill="1" applyBorder="1" applyAlignment="1">
      <alignment horizontal="center"/>
    </xf>
    <xf numFmtId="164" fontId="4" fillId="12" borderId="0" xfId="0" applyNumberFormat="1" applyFont="1" applyFill="1" applyAlignment="1">
      <alignment horizontal="center"/>
    </xf>
    <xf numFmtId="0" fontId="2" fillId="12" borderId="0" xfId="0" applyFont="1" applyFill="1"/>
    <xf numFmtId="9" fontId="2" fillId="12" borderId="0" xfId="0" applyNumberFormat="1" applyFont="1" applyFill="1" applyAlignment="1">
      <alignment horizontal="center"/>
    </xf>
    <xf numFmtId="3" fontId="2" fillId="12" borderId="0" xfId="0" applyNumberFormat="1" applyFont="1" applyFill="1" applyAlignment="1">
      <alignment horizontal="center"/>
    </xf>
    <xf numFmtId="164" fontId="0" fillId="12" borderId="0" xfId="0" applyNumberFormat="1" applyFill="1"/>
    <xf numFmtId="0" fontId="0" fillId="12" borderId="0" xfId="0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9" fontId="0" fillId="12" borderId="0" xfId="1" applyFont="1" applyFill="1" applyBorder="1" applyAlignment="1">
      <alignment horizontal="center" vertical="center" wrapText="1"/>
    </xf>
    <xf numFmtId="6" fontId="11" fillId="12" borderId="0" xfId="0" applyNumberFormat="1" applyFont="1" applyFill="1" applyAlignment="1">
      <alignment horizontal="center" vertical="center" wrapText="1"/>
    </xf>
    <xf numFmtId="9" fontId="11" fillId="12" borderId="0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6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6" fontId="1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0" borderId="2" xfId="0" applyNumberFormat="1" applyBorder="1" applyAlignment="1">
      <alignment horizontal="center" vertical="center" wrapText="1"/>
    </xf>
    <xf numFmtId="165" fontId="0" fillId="0" borderId="0" xfId="0" applyNumberFormat="1"/>
    <xf numFmtId="165" fontId="8" fillId="0" borderId="1" xfId="0" applyNumberFormat="1" applyFont="1" applyBorder="1" applyAlignment="1">
      <alignment horizontal="center" vertical="center"/>
    </xf>
    <xf numFmtId="9" fontId="0" fillId="0" borderId="0" xfId="1" applyFont="1"/>
    <xf numFmtId="0" fontId="15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5" fontId="1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5" fontId="0" fillId="0" borderId="1" xfId="0" applyNumberFormat="1" applyBorder="1" applyAlignment="1">
      <alignment horizontal="center" vertical="center"/>
    </xf>
    <xf numFmtId="0" fontId="16" fillId="14" borderId="21" xfId="0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16" fontId="17" fillId="0" borderId="21" xfId="0" applyNumberFormat="1" applyFont="1" applyBorder="1" applyAlignment="1">
      <alignment horizontal="center" vertical="center" wrapText="1"/>
    </xf>
    <xf numFmtId="15" fontId="17" fillId="0" borderId="2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9" fontId="2" fillId="0" borderId="0" xfId="1" applyFont="1" applyFill="1" applyBorder="1" applyAlignment="1">
      <alignment horizontal="center"/>
    </xf>
    <xf numFmtId="9" fontId="2" fillId="0" borderId="0" xfId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165" fontId="18" fillId="16" borderId="1" xfId="0" applyNumberFormat="1" applyFont="1" applyFill="1" applyBorder="1" applyAlignment="1">
      <alignment horizontal="center" vertical="center"/>
    </xf>
    <xf numFmtId="164" fontId="18" fillId="16" borderId="0" xfId="0" applyNumberFormat="1" applyFont="1" applyFill="1" applyAlignment="1">
      <alignment horizontal="center" vertical="center"/>
    </xf>
    <xf numFmtId="164" fontId="18" fillId="15" borderId="0" xfId="0" applyNumberFormat="1" applyFont="1" applyFill="1" applyAlignment="1">
      <alignment horizontal="center" vertical="center"/>
    </xf>
    <xf numFmtId="0" fontId="2" fillId="0" borderId="0" xfId="3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9" fontId="0" fillId="0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8" fillId="0" borderId="0" xfId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165" fontId="8" fillId="17" borderId="1" xfId="0" applyNumberFormat="1" applyFont="1" applyFill="1" applyBorder="1" applyAlignment="1">
      <alignment horizontal="center" vertical="center"/>
    </xf>
    <xf numFmtId="165" fontId="8" fillId="18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165" fontId="8" fillId="12" borderId="1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9" fontId="0" fillId="0" borderId="26" xfId="0" applyNumberFormat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 wrapText="1"/>
    </xf>
    <xf numFmtId="165" fontId="0" fillId="0" borderId="26" xfId="0" applyNumberFormat="1" applyBorder="1" applyAlignment="1">
      <alignment horizontal="center" vertical="center" wrapText="1"/>
    </xf>
    <xf numFmtId="0" fontId="4" fillId="20" borderId="26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9" fontId="2" fillId="2" borderId="26" xfId="0" applyNumberFormat="1" applyFont="1" applyFill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9" fontId="2" fillId="3" borderId="26" xfId="0" applyNumberFormat="1" applyFont="1" applyFill="1" applyBorder="1" applyAlignment="1">
      <alignment horizontal="center" vertical="center" wrapText="1"/>
    </xf>
    <xf numFmtId="9" fontId="2" fillId="13" borderId="26" xfId="0" applyNumberFormat="1" applyFont="1" applyFill="1" applyBorder="1" applyAlignment="1">
      <alignment horizontal="center" vertical="center" wrapText="1"/>
    </xf>
    <xf numFmtId="15" fontId="0" fillId="0" borderId="26" xfId="0" applyNumberFormat="1" applyBorder="1" applyAlignment="1">
      <alignment horizontal="center" vertical="center" wrapText="1"/>
    </xf>
    <xf numFmtId="0" fontId="4" fillId="19" borderId="26" xfId="0" applyFont="1" applyFill="1" applyBorder="1" applyAlignment="1">
      <alignment horizontal="center" vertical="center" wrapText="1"/>
    </xf>
    <xf numFmtId="9" fontId="4" fillId="19" borderId="26" xfId="0" applyNumberFormat="1" applyFont="1" applyFill="1" applyBorder="1" applyAlignment="1">
      <alignment horizontal="center" vertical="center" wrapText="1"/>
    </xf>
    <xf numFmtId="3" fontId="4" fillId="19" borderId="26" xfId="0" applyNumberFormat="1" applyFont="1" applyFill="1" applyBorder="1" applyAlignment="1">
      <alignment horizontal="center" vertical="center" wrapText="1"/>
    </xf>
    <xf numFmtId="165" fontId="4" fillId="19" borderId="26" xfId="0" applyNumberFormat="1" applyFont="1" applyFill="1" applyBorder="1" applyAlignment="1">
      <alignment horizontal="center" vertical="center" wrapText="1"/>
    </xf>
    <xf numFmtId="0" fontId="19" fillId="19" borderId="26" xfId="0" applyFont="1" applyFill="1" applyBorder="1" applyAlignment="1">
      <alignment horizontal="center" vertical="center" wrapText="1"/>
    </xf>
    <xf numFmtId="1" fontId="4" fillId="19" borderId="26" xfId="0" applyNumberFormat="1" applyFont="1" applyFill="1" applyBorder="1" applyAlignment="1">
      <alignment horizontal="center" vertical="center" wrapText="1"/>
    </xf>
    <xf numFmtId="15" fontId="4" fillId="19" borderId="26" xfId="0" applyNumberFormat="1" applyFont="1" applyFill="1" applyBorder="1" applyAlignment="1">
      <alignment horizontal="center" vertical="center" wrapText="1"/>
    </xf>
    <xf numFmtId="2" fontId="2" fillId="0" borderId="26" xfId="0" applyNumberFormat="1" applyFon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0" fontId="24" fillId="22" borderId="0" xfId="0" applyFont="1" applyFill="1"/>
    <xf numFmtId="0" fontId="2" fillId="0" borderId="26" xfId="0" applyFont="1" applyBorder="1" applyAlignment="1">
      <alignment horizontal="center" vertical="center" wrapText="1"/>
    </xf>
    <xf numFmtId="2" fontId="4" fillId="19" borderId="26" xfId="0" applyNumberFormat="1" applyFont="1" applyFill="1" applyBorder="1" applyAlignment="1">
      <alignment horizontal="center" vertical="center" wrapText="1"/>
    </xf>
    <xf numFmtId="9" fontId="2" fillId="0" borderId="26" xfId="0" applyNumberFormat="1" applyFont="1" applyBorder="1" applyAlignment="1">
      <alignment horizontal="center" vertical="center" wrapText="1"/>
    </xf>
    <xf numFmtId="165" fontId="2" fillId="0" borderId="26" xfId="0" applyNumberFormat="1" applyFont="1" applyBorder="1" applyAlignment="1">
      <alignment horizontal="center" vertical="center" wrapText="1"/>
    </xf>
    <xf numFmtId="1" fontId="2" fillId="0" borderId="26" xfId="0" applyNumberFormat="1" applyFont="1" applyBorder="1" applyAlignment="1">
      <alignment horizontal="center" vertical="center" wrapText="1"/>
    </xf>
    <xf numFmtId="1" fontId="19" fillId="19" borderId="26" xfId="0" applyNumberFormat="1" applyFont="1" applyFill="1" applyBorder="1" applyAlignment="1">
      <alignment horizontal="center" vertical="center" wrapText="1"/>
    </xf>
    <xf numFmtId="0" fontId="22" fillId="22" borderId="26" xfId="0" applyFont="1" applyFill="1" applyBorder="1" applyAlignment="1">
      <alignment horizontal="center" vertical="center" wrapText="1"/>
    </xf>
    <xf numFmtId="9" fontId="22" fillId="22" borderId="26" xfId="0" applyNumberFormat="1" applyFont="1" applyFill="1" applyBorder="1" applyAlignment="1">
      <alignment horizontal="center" vertical="center" wrapText="1"/>
    </xf>
    <xf numFmtId="2" fontId="22" fillId="22" borderId="26" xfId="0" applyNumberFormat="1" applyFont="1" applyFill="1" applyBorder="1" applyAlignment="1">
      <alignment horizontal="center" vertical="center" wrapText="1"/>
    </xf>
    <xf numFmtId="0" fontId="21" fillId="20" borderId="26" xfId="0" applyFont="1" applyFill="1" applyBorder="1" applyAlignment="1">
      <alignment horizontal="center" vertical="center" wrapText="1"/>
    </xf>
    <xf numFmtId="16" fontId="21" fillId="20" borderId="26" xfId="0" applyNumberFormat="1" applyFont="1" applyFill="1" applyBorder="1" applyAlignment="1">
      <alignment horizontal="center" vertical="center" wrapText="1"/>
    </xf>
    <xf numFmtId="2" fontId="27" fillId="0" borderId="26" xfId="0" applyNumberFormat="1" applyFont="1" applyBorder="1" applyAlignment="1">
      <alignment horizontal="center" vertical="center" wrapText="1"/>
    </xf>
    <xf numFmtId="1" fontId="28" fillId="0" borderId="26" xfId="0" applyNumberFormat="1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9" fontId="28" fillId="0" borderId="26" xfId="0" applyNumberFormat="1" applyFont="1" applyBorder="1" applyAlignment="1">
      <alignment horizontal="center" vertical="center" wrapText="1"/>
    </xf>
    <xf numFmtId="9" fontId="28" fillId="3" borderId="26" xfId="0" applyNumberFormat="1" applyFont="1" applyFill="1" applyBorder="1" applyAlignment="1">
      <alignment horizontal="center" vertical="center" wrapText="1"/>
    </xf>
    <xf numFmtId="165" fontId="28" fillId="0" borderId="26" xfId="0" applyNumberFormat="1" applyFont="1" applyBorder="1" applyAlignment="1">
      <alignment horizontal="center" vertical="center" wrapText="1"/>
    </xf>
    <xf numFmtId="2" fontId="28" fillId="0" borderId="26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0" borderId="26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4" fillId="19" borderId="2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19" borderId="32" xfId="0" applyFont="1" applyFill="1" applyBorder="1" applyAlignment="1">
      <alignment horizontal="center" vertical="center"/>
    </xf>
    <xf numFmtId="0" fontId="2" fillId="19" borderId="29" xfId="0" applyFont="1" applyFill="1" applyBorder="1" applyAlignment="1">
      <alignment horizontal="center" vertical="center"/>
    </xf>
    <xf numFmtId="0" fontId="2" fillId="19" borderId="30" xfId="0" applyFont="1" applyFill="1" applyBorder="1" applyAlignment="1">
      <alignment horizontal="center" vertical="center"/>
    </xf>
    <xf numFmtId="0" fontId="2" fillId="19" borderId="3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20" fontId="0" fillId="0" borderId="0" xfId="0" applyNumberFormat="1" applyAlignment="1">
      <alignment horizontal="left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 wrapText="1"/>
    </xf>
    <xf numFmtId="0" fontId="4" fillId="19" borderId="27" xfId="0" applyFont="1" applyFill="1" applyBorder="1" applyAlignment="1">
      <alignment horizontal="center" vertical="center" wrapText="1"/>
    </xf>
    <xf numFmtId="0" fontId="4" fillId="19" borderId="2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15" fillId="19" borderId="22" xfId="0" applyFont="1" applyFill="1" applyBorder="1" applyAlignment="1">
      <alignment horizontal="center" vertical="center"/>
    </xf>
    <xf numFmtId="0" fontId="15" fillId="19" borderId="23" xfId="0" applyFont="1" applyFill="1" applyBorder="1" applyAlignment="1">
      <alignment horizontal="center" vertical="center"/>
    </xf>
    <xf numFmtId="0" fontId="15" fillId="19" borderId="24" xfId="0" applyFont="1" applyFill="1" applyBorder="1" applyAlignment="1">
      <alignment horizontal="center" vertical="center"/>
    </xf>
    <xf numFmtId="0" fontId="20" fillId="21" borderId="22" xfId="0" applyFont="1" applyFill="1" applyBorder="1" applyAlignment="1">
      <alignment horizontal="center" vertical="center"/>
    </xf>
    <xf numFmtId="0" fontId="20" fillId="21" borderId="23" xfId="0" applyFont="1" applyFill="1" applyBorder="1" applyAlignment="1">
      <alignment horizontal="center" vertical="center"/>
    </xf>
    <xf numFmtId="0" fontId="20" fillId="21" borderId="24" xfId="0" applyFont="1" applyFill="1" applyBorder="1" applyAlignment="1">
      <alignment horizontal="center" vertical="center"/>
    </xf>
    <xf numFmtId="0" fontId="23" fillId="22" borderId="22" xfId="0" applyFont="1" applyFill="1" applyBorder="1" applyAlignment="1">
      <alignment horizontal="left" vertical="center" wrapText="1"/>
    </xf>
    <xf numFmtId="0" fontId="23" fillId="22" borderId="23" xfId="0" applyFont="1" applyFill="1" applyBorder="1" applyAlignment="1">
      <alignment horizontal="left" vertical="center" wrapText="1"/>
    </xf>
    <xf numFmtId="0" fontId="23" fillId="22" borderId="24" xfId="0" applyFont="1" applyFill="1" applyBorder="1" applyAlignment="1">
      <alignment horizontal="left" vertical="center" wrapText="1"/>
    </xf>
    <xf numFmtId="0" fontId="4" fillId="10" borderId="26" xfId="0" applyFont="1" applyFill="1" applyBorder="1" applyAlignment="1">
      <alignment horizontal="center" vertical="center" wrapText="1"/>
    </xf>
    <xf numFmtId="0" fontId="22" fillId="22" borderId="2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1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4" fillId="12" borderId="0" xfId="0" applyFont="1" applyFill="1" applyAlignment="1">
      <alignment horizontal="center"/>
    </xf>
    <xf numFmtId="0" fontId="0" fillId="12" borderId="0" xfId="0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 wrapText="1"/>
    </xf>
    <xf numFmtId="0" fontId="16" fillId="14" borderId="22" xfId="0" applyFont="1" applyFill="1" applyBorder="1" applyAlignment="1">
      <alignment horizontal="center" vertical="center" wrapText="1"/>
    </xf>
    <xf numFmtId="0" fontId="16" fillId="14" borderId="23" xfId="0" applyFont="1" applyFill="1" applyBorder="1" applyAlignment="1">
      <alignment horizontal="center" vertical="center" wrapText="1"/>
    </xf>
    <xf numFmtId="0" fontId="16" fillId="14" borderId="24" xfId="0" applyFont="1" applyFill="1" applyBorder="1" applyAlignment="1">
      <alignment horizontal="center" vertical="center" wrapText="1"/>
    </xf>
    <xf numFmtId="0" fontId="16" fillId="14" borderId="16" xfId="0" applyFont="1" applyFill="1" applyBorder="1" applyAlignment="1">
      <alignment horizontal="center" vertical="center" wrapText="1"/>
    </xf>
    <xf numFmtId="0" fontId="16" fillId="14" borderId="25" xfId="0" applyFont="1" applyFill="1" applyBorder="1" applyAlignment="1">
      <alignment horizontal="center" vertical="center" wrapText="1"/>
    </xf>
  </cellXfs>
  <cellStyles count="4">
    <cellStyle name="Currency" xfId="2" xr:uid="{00000000-0005-0000-0000-000000000000}"/>
    <cellStyle name="Hyperlink" xfId="3" xr:uid="{00000000-0005-0000-0000-000001000000}"/>
    <cellStyle name="Normal" xfId="0" builtinId="0"/>
    <cellStyle name="Percent" xfId="1" xr:uid="{00000000-0005-0000-0000-000003000000}"/>
  </cellStyles>
  <dxfs count="23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666666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1F4E78"/>
      </font>
      <fill>
        <patternFill>
          <bgColor rgb="FFD9E1F2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49"/>
  <sheetViews>
    <sheetView tabSelected="1" topLeftCell="AS5" zoomScale="70" zoomScaleNormal="70" workbookViewId="0">
      <selection activeCell="AM3" sqref="AM3:BS27"/>
    </sheetView>
  </sheetViews>
  <sheetFormatPr defaultRowHeight="15"/>
  <cols>
    <col min="1" max="1" width="15.5703125" customWidth="1"/>
    <col min="2" max="2" width="19.28515625" customWidth="1"/>
    <col min="3" max="3" width="11.140625" customWidth="1"/>
    <col min="4" max="4" width="15.7109375" customWidth="1"/>
    <col min="5" max="5" width="14.5703125" customWidth="1"/>
    <col min="6" max="6" width="19" customWidth="1"/>
    <col min="7" max="7" width="11.5703125" customWidth="1"/>
    <col min="9" max="9" width="14.42578125" customWidth="1"/>
    <col min="10" max="10" width="12.7109375" customWidth="1"/>
    <col min="11" max="11" width="18.5703125" customWidth="1"/>
    <col min="12" max="12" width="13.85546875" customWidth="1"/>
    <col min="13" max="13" width="16.28515625" customWidth="1"/>
    <col min="14" max="14" width="21.85546875" customWidth="1"/>
    <col min="15" max="15" width="14.140625" customWidth="1"/>
    <col min="16" max="16" width="13.140625" customWidth="1"/>
    <col min="18" max="18" width="15.5703125" customWidth="1"/>
    <col min="19" max="19" width="14.42578125" customWidth="1"/>
    <col min="21" max="21" width="12.5703125" customWidth="1"/>
    <col min="22" max="22" width="14.140625" customWidth="1"/>
    <col min="23" max="23" width="13.28515625" customWidth="1"/>
    <col min="24" max="24" width="14.42578125" customWidth="1"/>
    <col min="25" max="25" width="16.28515625" customWidth="1"/>
    <col min="27" max="27" width="16.42578125" customWidth="1"/>
    <col min="28" max="28" width="11.28515625" customWidth="1"/>
    <col min="29" max="29" width="20" customWidth="1"/>
    <col min="30" max="30" width="14.5703125" customWidth="1"/>
    <col min="31" max="31" width="10.42578125" customWidth="1"/>
    <col min="32" max="32" width="14.140625" customWidth="1"/>
    <col min="33" max="33" width="14.5703125" customWidth="1"/>
    <col min="34" max="34" width="15.7109375" customWidth="1"/>
    <col min="35" max="35" width="16" customWidth="1"/>
    <col min="36" max="36" width="15.28515625" customWidth="1"/>
    <col min="37" max="37" width="12.5703125" customWidth="1"/>
    <col min="38" max="38" width="20.28515625" customWidth="1"/>
    <col min="39" max="39" width="20" customWidth="1"/>
    <col min="40" max="40" width="18" customWidth="1"/>
    <col min="41" max="42" width="10" customWidth="1"/>
    <col min="43" max="43" width="12" customWidth="1"/>
    <col min="44" max="51" width="9" customWidth="1"/>
    <col min="52" max="54" width="12" customWidth="1"/>
    <col min="55" max="55" width="16" customWidth="1"/>
    <col min="56" max="56" width="11" customWidth="1"/>
    <col min="57" max="57" width="9" customWidth="1"/>
    <col min="58" max="58" width="16" customWidth="1"/>
    <col min="59" max="59" width="13" customWidth="1"/>
    <col min="60" max="61" width="12" customWidth="1"/>
    <col min="62" max="63" width="16" customWidth="1"/>
    <col min="64" max="64" width="10" customWidth="1"/>
    <col min="65" max="66" width="12" customWidth="1"/>
    <col min="67" max="67" width="13" customWidth="1"/>
    <col min="68" max="69" width="11" customWidth="1"/>
    <col min="70" max="70" width="13" customWidth="1"/>
    <col min="71" max="71" width="12" customWidth="1"/>
  </cols>
  <sheetData>
    <row r="1" spans="1:71" ht="18.75" customHeight="1">
      <c r="S1" s="258" t="s">
        <v>0</v>
      </c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</row>
    <row r="2" spans="1:71" ht="18" customHeight="1">
      <c r="A2" s="2"/>
      <c r="B2" s="2"/>
      <c r="C2" s="2"/>
      <c r="D2" s="2"/>
      <c r="F2" s="3"/>
      <c r="G2" s="3"/>
      <c r="H2" s="243" t="s">
        <v>1</v>
      </c>
      <c r="I2" s="244"/>
      <c r="J2" s="245"/>
      <c r="K2" s="243" t="s">
        <v>2</v>
      </c>
      <c r="L2" s="244"/>
      <c r="M2" s="245"/>
      <c r="N2" s="34" t="s">
        <v>3</v>
      </c>
      <c r="O2" s="3"/>
      <c r="S2" s="226" t="s">
        <v>4</v>
      </c>
      <c r="T2" s="226"/>
      <c r="U2" s="226"/>
      <c r="V2" s="226"/>
      <c r="W2" s="44"/>
      <c r="X2" s="226" t="s">
        <v>5</v>
      </c>
      <c r="Y2" s="226"/>
      <c r="Z2" s="226"/>
      <c r="AA2" s="226"/>
      <c r="AC2" s="226" t="s">
        <v>6</v>
      </c>
      <c r="AD2" s="226"/>
      <c r="AE2" s="226"/>
      <c r="AF2" s="226"/>
      <c r="AH2" s="226" t="s">
        <v>7</v>
      </c>
      <c r="AI2" s="226"/>
      <c r="AJ2" s="226"/>
      <c r="AK2" s="226"/>
    </row>
    <row r="3" spans="1:71" ht="21.95" customHeight="1">
      <c r="A3" s="253" t="s">
        <v>8</v>
      </c>
      <c r="B3" s="233" t="s">
        <v>9</v>
      </c>
      <c r="C3" s="229" t="s">
        <v>10</v>
      </c>
      <c r="D3" s="230"/>
      <c r="E3" s="233" t="s">
        <v>11</v>
      </c>
      <c r="F3" s="223" t="s">
        <v>12</v>
      </c>
      <c r="G3" s="223" t="s">
        <v>13</v>
      </c>
      <c r="H3" s="223" t="s">
        <v>14</v>
      </c>
      <c r="I3" s="223" t="s">
        <v>15</v>
      </c>
      <c r="J3" s="223" t="s">
        <v>16</v>
      </c>
      <c r="K3" s="223" t="s">
        <v>17</v>
      </c>
      <c r="L3" s="223" t="s">
        <v>18</v>
      </c>
      <c r="M3" s="223" t="s">
        <v>19</v>
      </c>
      <c r="N3" s="223" t="s">
        <v>20</v>
      </c>
      <c r="O3" s="223" t="s">
        <v>21</v>
      </c>
      <c r="S3" s="41" t="s">
        <v>22</v>
      </c>
      <c r="T3" s="77" t="s">
        <v>23</v>
      </c>
      <c r="U3" s="79" t="s">
        <v>24</v>
      </c>
      <c r="V3" s="80" t="s">
        <v>25</v>
      </c>
      <c r="W3" s="49"/>
      <c r="X3" s="41" t="s">
        <v>22</v>
      </c>
      <c r="Y3" s="132" t="s">
        <v>23</v>
      </c>
      <c r="Z3" s="41" t="s">
        <v>24</v>
      </c>
      <c r="AA3" s="60" t="s">
        <v>25</v>
      </c>
      <c r="AC3" s="41" t="s">
        <v>22</v>
      </c>
      <c r="AD3" s="77" t="s">
        <v>23</v>
      </c>
      <c r="AE3" s="79" t="s">
        <v>24</v>
      </c>
      <c r="AF3" s="79" t="s">
        <v>25</v>
      </c>
      <c r="AH3" s="41" t="s">
        <v>22</v>
      </c>
      <c r="AI3" s="46" t="s">
        <v>23</v>
      </c>
      <c r="AJ3" s="41" t="s">
        <v>24</v>
      </c>
      <c r="AK3" s="41" t="s">
        <v>25</v>
      </c>
      <c r="AM3" s="248" t="s">
        <v>403</v>
      </c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50"/>
      <c r="BK3" s="250"/>
      <c r="BL3" s="250"/>
      <c r="BM3" s="250"/>
      <c r="BN3" s="250"/>
      <c r="BO3" s="250"/>
      <c r="BP3" s="250"/>
      <c r="BQ3" s="250"/>
      <c r="BR3" s="250"/>
      <c r="BS3" s="251"/>
    </row>
    <row r="4" spans="1:71" ht="30" customHeight="1">
      <c r="A4" s="254"/>
      <c r="B4" s="234"/>
      <c r="C4" s="231"/>
      <c r="D4" s="232"/>
      <c r="E4" s="234"/>
      <c r="F4" s="224"/>
      <c r="G4" s="224"/>
      <c r="H4" s="224"/>
      <c r="I4" s="224"/>
      <c r="J4" s="224"/>
      <c r="K4" s="224"/>
      <c r="L4" s="224"/>
      <c r="M4" s="224"/>
      <c r="N4" s="224"/>
      <c r="O4" s="224"/>
      <c r="S4" s="78">
        <v>46235</v>
      </c>
      <c r="T4" s="1">
        <v>1</v>
      </c>
      <c r="U4" s="177">
        <v>72</v>
      </c>
      <c r="V4" s="179">
        <v>432000</v>
      </c>
      <c r="W4" s="47"/>
      <c r="X4" s="78">
        <v>46235</v>
      </c>
      <c r="Y4" s="1">
        <v>1</v>
      </c>
      <c r="Z4" s="82">
        <v>48</v>
      </c>
      <c r="AA4" s="87">
        <v>288000</v>
      </c>
      <c r="AC4" s="78">
        <v>46235</v>
      </c>
      <c r="AD4" s="1">
        <v>1</v>
      </c>
      <c r="AE4" s="82">
        <v>120</v>
      </c>
      <c r="AF4" s="87">
        <v>720000</v>
      </c>
      <c r="AH4" s="78">
        <v>46204</v>
      </c>
      <c r="AI4" s="1"/>
      <c r="AJ4" s="82">
        <v>24</v>
      </c>
      <c r="AK4" s="87">
        <v>168000</v>
      </c>
      <c r="AM4" s="240" t="s">
        <v>9</v>
      </c>
      <c r="AN4" s="240" t="s">
        <v>404</v>
      </c>
      <c r="AO4" s="240" t="s">
        <v>14</v>
      </c>
      <c r="AP4" s="240" t="s">
        <v>15</v>
      </c>
      <c r="AQ4" s="240" t="s">
        <v>405</v>
      </c>
      <c r="AR4" s="240" t="s">
        <v>406</v>
      </c>
      <c r="AS4" s="240"/>
      <c r="AT4" s="240"/>
      <c r="AU4" s="240"/>
      <c r="AV4" s="240" t="s">
        <v>407</v>
      </c>
      <c r="AW4" s="240"/>
      <c r="AX4" s="240"/>
      <c r="AY4" s="240"/>
      <c r="AZ4" s="240" t="s">
        <v>17</v>
      </c>
      <c r="BA4" s="240" t="s">
        <v>18</v>
      </c>
      <c r="BB4" s="240" t="s">
        <v>408</v>
      </c>
      <c r="BC4" s="240" t="s">
        <v>409</v>
      </c>
      <c r="BD4" s="240" t="s">
        <v>21</v>
      </c>
      <c r="BE4" s="240" t="s">
        <v>410</v>
      </c>
      <c r="BF4" s="240" t="s">
        <v>411</v>
      </c>
      <c r="BG4" s="240" t="s">
        <v>412</v>
      </c>
      <c r="BH4" s="240" t="s">
        <v>413</v>
      </c>
      <c r="BI4" s="240" t="s">
        <v>414</v>
      </c>
      <c r="BJ4" s="240" t="s">
        <v>415</v>
      </c>
      <c r="BK4" s="240" t="s">
        <v>416</v>
      </c>
      <c r="BL4" s="240" t="s">
        <v>417</v>
      </c>
      <c r="BM4" s="240" t="s">
        <v>418</v>
      </c>
      <c r="BN4" s="240" t="s">
        <v>419</v>
      </c>
      <c r="BO4" s="240" t="s">
        <v>420</v>
      </c>
      <c r="BP4" s="240" t="s">
        <v>421</v>
      </c>
      <c r="BQ4" s="240" t="s">
        <v>422</v>
      </c>
      <c r="BR4" s="240" t="s">
        <v>423</v>
      </c>
      <c r="BS4" s="240" t="s">
        <v>424</v>
      </c>
    </row>
    <row r="5" spans="1:71" ht="30" customHeight="1">
      <c r="A5" s="1">
        <v>4</v>
      </c>
      <c r="B5" s="1" t="s">
        <v>26</v>
      </c>
      <c r="C5" s="255" t="s">
        <v>27</v>
      </c>
      <c r="D5" s="256"/>
      <c r="E5" s="1" t="s">
        <v>28</v>
      </c>
      <c r="F5" s="4" t="s">
        <v>29</v>
      </c>
      <c r="G5" s="1">
        <f>SUM(T4:T34)</f>
        <v>12</v>
      </c>
      <c r="H5" s="9">
        <f>G5*120</f>
        <v>1440</v>
      </c>
      <c r="I5" s="1">
        <f>SUM(U4:U34)</f>
        <v>816</v>
      </c>
      <c r="J5" s="5">
        <f>I5/H5</f>
        <v>0.56666666666666665</v>
      </c>
      <c r="K5" s="1">
        <v>3240</v>
      </c>
      <c r="L5" s="1">
        <f>SUM(I5)</f>
        <v>816</v>
      </c>
      <c r="M5" s="5">
        <f>L5/K5</f>
        <v>0.25185185185185183</v>
      </c>
      <c r="N5" s="33">
        <f>SUM(V4:V33)</f>
        <v>4896000</v>
      </c>
      <c r="O5" s="1">
        <f>L5/G5</f>
        <v>68</v>
      </c>
      <c r="S5" s="78">
        <v>46236</v>
      </c>
      <c r="T5" s="1" t="s">
        <v>30</v>
      </c>
      <c r="U5" s="83"/>
      <c r="V5" s="88"/>
      <c r="W5" s="47"/>
      <c r="X5" s="78">
        <v>46236</v>
      </c>
      <c r="Y5" s="1" t="s">
        <v>30</v>
      </c>
      <c r="Z5" s="83"/>
      <c r="AA5" s="88"/>
      <c r="AC5" s="78">
        <v>46236</v>
      </c>
      <c r="AD5" s="1" t="s">
        <v>30</v>
      </c>
      <c r="AE5" s="83"/>
      <c r="AF5" s="88"/>
      <c r="AH5" s="78">
        <v>46205</v>
      </c>
      <c r="AI5" s="1"/>
      <c r="AJ5" s="83"/>
      <c r="AK5" s="88"/>
      <c r="AM5" s="240"/>
      <c r="AN5" s="240"/>
      <c r="AO5" s="240"/>
      <c r="AP5" s="240"/>
      <c r="AQ5" s="240"/>
      <c r="AR5" s="187" t="s">
        <v>425</v>
      </c>
      <c r="AS5" s="187" t="s">
        <v>426</v>
      </c>
      <c r="AT5" s="187" t="s">
        <v>427</v>
      </c>
      <c r="AU5" s="187" t="s">
        <v>428</v>
      </c>
      <c r="AV5" s="187" t="s">
        <v>425</v>
      </c>
      <c r="AW5" s="187" t="s">
        <v>426</v>
      </c>
      <c r="AX5" s="187" t="s">
        <v>427</v>
      </c>
      <c r="AY5" s="187" t="s">
        <v>428</v>
      </c>
      <c r="AZ5" s="240"/>
      <c r="BA5" s="240"/>
      <c r="BB5" s="240"/>
      <c r="BC5" s="240"/>
      <c r="BD5" s="240"/>
      <c r="BE5" s="240"/>
      <c r="BF5" s="240"/>
      <c r="BG5" s="240"/>
      <c r="BH5" s="240"/>
      <c r="BI5" s="240"/>
      <c r="BJ5" s="240"/>
      <c r="BK5" s="240"/>
      <c r="BL5" s="240"/>
      <c r="BM5" s="240"/>
      <c r="BN5" s="240"/>
      <c r="BO5" s="240"/>
      <c r="BP5" s="240"/>
      <c r="BQ5" s="240"/>
      <c r="BR5" s="240"/>
      <c r="BS5" s="240"/>
    </row>
    <row r="6" spans="1:71" ht="20.100000000000001" customHeight="1">
      <c r="A6" s="1">
        <v>4</v>
      </c>
      <c r="B6" s="1" t="s">
        <v>26</v>
      </c>
      <c r="C6" s="238" t="s">
        <v>31</v>
      </c>
      <c r="D6" s="239"/>
      <c r="E6" s="1" t="s">
        <v>32</v>
      </c>
      <c r="F6" s="4" t="s">
        <v>33</v>
      </c>
      <c r="G6" s="1">
        <f>SUM(AD4:AD33)</f>
        <v>13</v>
      </c>
      <c r="H6" s="9">
        <f>G6*120</f>
        <v>1560</v>
      </c>
      <c r="I6" s="1">
        <f>SUM(AE4:AE33)</f>
        <v>1272</v>
      </c>
      <c r="J6" s="5">
        <f>I6/H6</f>
        <v>0.81538461538461537</v>
      </c>
      <c r="K6" s="1">
        <v>3240</v>
      </c>
      <c r="L6" s="1">
        <f>SUM(I6)</f>
        <v>1272</v>
      </c>
      <c r="M6" s="5">
        <f>L6/K6</f>
        <v>0.3925925925925926</v>
      </c>
      <c r="N6" s="33">
        <f>SUM(AF4:AF33)</f>
        <v>7632000</v>
      </c>
      <c r="O6" s="1">
        <f>L6/G6</f>
        <v>97.84615384615384</v>
      </c>
      <c r="P6" s="32"/>
      <c r="S6" s="78">
        <v>46237</v>
      </c>
      <c r="T6" s="1" t="s">
        <v>34</v>
      </c>
      <c r="U6" s="83"/>
      <c r="V6" s="88"/>
      <c r="W6" s="47"/>
      <c r="X6" s="78">
        <v>46237</v>
      </c>
      <c r="Y6" s="1">
        <v>1</v>
      </c>
      <c r="Z6" s="177">
        <v>120</v>
      </c>
      <c r="AA6" s="179">
        <v>720000</v>
      </c>
      <c r="AC6" s="78">
        <v>46237</v>
      </c>
      <c r="AD6" s="1">
        <v>1</v>
      </c>
      <c r="AE6" s="83">
        <v>96</v>
      </c>
      <c r="AF6" s="88">
        <v>576000</v>
      </c>
      <c r="AH6" s="78">
        <v>46206</v>
      </c>
      <c r="AI6" s="1"/>
      <c r="AJ6" s="177">
        <v>24</v>
      </c>
      <c r="AK6" s="179">
        <v>144000</v>
      </c>
      <c r="AM6" s="241" t="s">
        <v>239</v>
      </c>
      <c r="AN6" s="183" t="s">
        <v>429</v>
      </c>
      <c r="AO6" s="183">
        <v>24</v>
      </c>
      <c r="AP6" s="183">
        <f>COUNTIF(T4:T34,1)</f>
        <v>12</v>
      </c>
      <c r="AQ6" s="184">
        <f>IFERROR(AP6/AO6,0)</f>
        <v>0.5</v>
      </c>
      <c r="AR6" s="183">
        <f>SUM(U4:U10)</f>
        <v>312</v>
      </c>
      <c r="AS6" s="183">
        <f>SUM(U11:U17)</f>
        <v>432</v>
      </c>
      <c r="AT6" s="183">
        <f>SUM(U18:U24)</f>
        <v>72</v>
      </c>
      <c r="AU6" s="188">
        <f>SUM(U25:U34)</f>
        <v>0</v>
      </c>
      <c r="AV6" s="190">
        <f>IFERROR(SUM(U4:U10)/COUNTIF(T4:T10,1),0)</f>
        <v>62.4</v>
      </c>
      <c r="AW6" s="190">
        <f>IFERROR(SUM(U11:U17)/COUNTIF(T11:T17,1),0)</f>
        <v>72</v>
      </c>
      <c r="AX6" s="190">
        <f>IFERROR(SUM(U18:U24)/COUNTIF(T18:T24,1),0)</f>
        <v>72</v>
      </c>
      <c r="AY6" s="188">
        <f>IFERROR(SUM(U25:U34)/COUNTIF(T25:T34,1),0)</f>
        <v>0</v>
      </c>
      <c r="AZ6" s="183">
        <f>3240</f>
        <v>3240</v>
      </c>
      <c r="BA6" s="185">
        <f>SUM(U4:U34)</f>
        <v>816</v>
      </c>
      <c r="BB6" s="184">
        <f t="shared" ref="BB6:BB12" si="0">IFERROR(BA6/AZ6,0)</f>
        <v>0.25185185185185183</v>
      </c>
      <c r="BC6" s="186">
        <f>SUM(V4:V34)</f>
        <v>4896000</v>
      </c>
      <c r="BD6" s="202">
        <f t="shared" ref="BD6:BD27" si="1">IFERROR(BA6/AP6,0)</f>
        <v>68</v>
      </c>
      <c r="BE6" s="189">
        <f>IFERROR(BF6/BC6,0)</f>
        <v>0.41607843137254902</v>
      </c>
      <c r="BF6" s="186">
        <f>BG6*AP6</f>
        <v>2037120</v>
      </c>
      <c r="BG6" s="186">
        <v>169760</v>
      </c>
      <c r="BH6" s="201">
        <f t="shared" ref="BH6:BH27" si="2">IFERROR(MAX(AZ6-BA6,0)/24/MAX(AO6-AP6,1),0)</f>
        <v>8.4166666666666661</v>
      </c>
      <c r="BI6" s="190">
        <f t="shared" ref="BI6:BI27" si="3">IFERROR(MAX(AZ6-BA6,0)/MAX(AO6-AP6,1),0)</f>
        <v>202</v>
      </c>
      <c r="BJ6" s="186">
        <f>IFERROR(26*BG6/BM6,0)</f>
        <v>16347259.259259257</v>
      </c>
      <c r="BK6" s="186">
        <f t="shared" ref="BK6:BK27" si="4">MAX(BJ6-BC6,0)</f>
        <v>11451259.259259257</v>
      </c>
      <c r="BL6" s="184">
        <f t="shared" ref="BL6:BL27" si="5">BE6-BM6</f>
        <v>0.146078431372549</v>
      </c>
      <c r="BM6" s="184">
        <v>0.27</v>
      </c>
      <c r="BN6" s="190">
        <f t="shared" ref="BN6:BN27" si="6">IFERROR(MAX(BP6-BA6,0)/MAX(AO6-AP6,1),0)</f>
        <v>202</v>
      </c>
      <c r="BO6" s="201">
        <f t="shared" ref="BO6:BO27" si="7">BN6/24</f>
        <v>8.4166666666666661</v>
      </c>
      <c r="BP6" s="183">
        <f>3240</f>
        <v>3240</v>
      </c>
      <c r="BQ6" s="183">
        <f t="shared" ref="BQ6:BQ27" si="8">MAX(BP6-BA6,0)</f>
        <v>2424</v>
      </c>
      <c r="BR6" s="190">
        <f t="shared" ref="BR6:BR27" si="9">BQ6/24</f>
        <v>101</v>
      </c>
      <c r="BS6" s="193">
        <v>46204</v>
      </c>
    </row>
    <row r="7" spans="1:71" ht="20.100000000000001" customHeight="1">
      <c r="A7" s="1">
        <v>4</v>
      </c>
      <c r="B7" s="1" t="s">
        <v>26</v>
      </c>
      <c r="C7" s="238" t="s">
        <v>452</v>
      </c>
      <c r="D7" s="239"/>
      <c r="E7" s="1" t="s">
        <v>35</v>
      </c>
      <c r="F7" s="4" t="s">
        <v>36</v>
      </c>
      <c r="G7" s="1">
        <f>SUM(Y4:Y34)</f>
        <v>12</v>
      </c>
      <c r="H7" s="9">
        <f>G7*120</f>
        <v>1440</v>
      </c>
      <c r="I7" s="1">
        <f>SUM(Z4:Z33)</f>
        <v>1536</v>
      </c>
      <c r="J7" s="5">
        <f>I7/H7</f>
        <v>1.0666666666666667</v>
      </c>
      <c r="K7" s="1">
        <v>3240</v>
      </c>
      <c r="L7" s="1">
        <f>SUM(I7)</f>
        <v>1536</v>
      </c>
      <c r="M7" s="5">
        <f>L7/K7</f>
        <v>0.47407407407407409</v>
      </c>
      <c r="N7" s="33">
        <f>SUM(AA4:AA33)</f>
        <v>9196000</v>
      </c>
      <c r="O7" s="1">
        <f>L7/G7</f>
        <v>128</v>
      </c>
      <c r="P7" s="32"/>
      <c r="S7" s="78">
        <v>46238</v>
      </c>
      <c r="T7" s="1">
        <v>1</v>
      </c>
      <c r="U7" s="177">
        <v>72</v>
      </c>
      <c r="V7" s="179">
        <v>432000</v>
      </c>
      <c r="W7" s="47"/>
      <c r="X7" s="78">
        <v>46238</v>
      </c>
      <c r="Y7" s="1">
        <v>1</v>
      </c>
      <c r="Z7" s="178">
        <v>168</v>
      </c>
      <c r="AA7" s="180">
        <v>1008000</v>
      </c>
      <c r="AC7" s="78">
        <v>46238</v>
      </c>
      <c r="AD7" s="1">
        <v>1</v>
      </c>
      <c r="AE7" s="83">
        <v>168</v>
      </c>
      <c r="AF7" s="88">
        <v>1008000</v>
      </c>
      <c r="AH7" s="78">
        <v>46207</v>
      </c>
      <c r="AI7" s="1"/>
      <c r="AJ7" s="178">
        <v>24</v>
      </c>
      <c r="AK7" s="180">
        <v>144000</v>
      </c>
      <c r="AM7" s="241"/>
      <c r="AN7" s="183" t="s">
        <v>35</v>
      </c>
      <c r="AO7" s="183">
        <v>24</v>
      </c>
      <c r="AP7" s="183">
        <f>COUNTIF(Y4:Y34,1)</f>
        <v>12</v>
      </c>
      <c r="AQ7" s="184">
        <f t="shared" ref="AQ7:AQ19" si="10">IFERROR(AP7/AO7,0)</f>
        <v>0.5</v>
      </c>
      <c r="AR7" s="183">
        <f>SUM(Z4:Z10)</f>
        <v>888</v>
      </c>
      <c r="AS7" s="183">
        <f>SUM(Z11:Z17)</f>
        <v>456</v>
      </c>
      <c r="AT7" s="183">
        <f>SUM(Z18:Z24)</f>
        <v>192</v>
      </c>
      <c r="AU7" s="188">
        <f>SUM(Z25:Z34)</f>
        <v>0</v>
      </c>
      <c r="AV7" s="190">
        <f>IFERROR(SUM(Z4:Z10)/COUNTIF(Y4:Y10,1),0)</f>
        <v>148</v>
      </c>
      <c r="AW7" s="190">
        <f>IFERROR(SUM(Z11:Z17)/COUNTIF(Y11:Y17,1),0)</f>
        <v>114</v>
      </c>
      <c r="AX7" s="190">
        <f>IFERROR(SUM(Z18:Z24)/COUNTIF(Y18:Y24,1),0)</f>
        <v>96</v>
      </c>
      <c r="AY7" s="188">
        <f>IFERROR(SUM(Z25:Z34)/COUNTIF(Y25:Y34,1),0)</f>
        <v>0</v>
      </c>
      <c r="AZ7" s="183">
        <f>3240</f>
        <v>3240</v>
      </c>
      <c r="BA7" s="185">
        <f>SUM(Z4:Z34)</f>
        <v>1536</v>
      </c>
      <c r="BB7" s="184">
        <f t="shared" si="0"/>
        <v>0.47407407407407409</v>
      </c>
      <c r="BC7" s="186">
        <f>SUM(AA4:AA34)</f>
        <v>9196000</v>
      </c>
      <c r="BD7" s="202">
        <f t="shared" si="1"/>
        <v>128</v>
      </c>
      <c r="BE7" s="189">
        <f>IFERROR(BF7/BC7,0)</f>
        <v>0.22152240104393214</v>
      </c>
      <c r="BF7" s="186">
        <f>BG7*AP7</f>
        <v>2037120</v>
      </c>
      <c r="BG7" s="186">
        <v>169760</v>
      </c>
      <c r="BH7" s="201">
        <f t="shared" si="2"/>
        <v>5.916666666666667</v>
      </c>
      <c r="BI7" s="190">
        <f t="shared" si="3"/>
        <v>142</v>
      </c>
      <c r="BJ7" s="186">
        <f>IFERROR(26*BG7/BM7,0)</f>
        <v>16347259.259259257</v>
      </c>
      <c r="BK7" s="186">
        <f t="shared" si="4"/>
        <v>7151259.2592592575</v>
      </c>
      <c r="BL7" s="184">
        <f t="shared" si="5"/>
        <v>-4.8477598956067874E-2</v>
      </c>
      <c r="BM7" s="184">
        <v>0.27</v>
      </c>
      <c r="BN7" s="190">
        <f t="shared" si="6"/>
        <v>142</v>
      </c>
      <c r="BO7" s="201">
        <f t="shared" si="7"/>
        <v>5.916666666666667</v>
      </c>
      <c r="BP7" s="183">
        <f>3240</f>
        <v>3240</v>
      </c>
      <c r="BQ7" s="183">
        <f t="shared" si="8"/>
        <v>1704</v>
      </c>
      <c r="BR7" s="190">
        <f t="shared" si="9"/>
        <v>71</v>
      </c>
      <c r="BS7" s="193">
        <v>46146</v>
      </c>
    </row>
    <row r="8" spans="1:71" ht="20.100000000000001" customHeight="1">
      <c r="A8" s="1">
        <v>4</v>
      </c>
      <c r="B8" s="1" t="s">
        <v>26</v>
      </c>
      <c r="C8" s="238" t="s">
        <v>37</v>
      </c>
      <c r="D8" s="239"/>
      <c r="E8" s="1" t="s">
        <v>38</v>
      </c>
      <c r="F8" s="4" t="s">
        <v>39</v>
      </c>
      <c r="G8" s="1">
        <f>SUM(AI4:AI34)</f>
        <v>2</v>
      </c>
      <c r="H8" s="9">
        <f>G8*120</f>
        <v>240</v>
      </c>
      <c r="I8" s="1">
        <f>SUM(AJ4:AJ33)</f>
        <v>396</v>
      </c>
      <c r="J8" s="5">
        <f>I8/H8</f>
        <v>1.65</v>
      </c>
      <c r="K8" s="1">
        <v>3240</v>
      </c>
      <c r="L8" s="1">
        <f>SUM(I8)</f>
        <v>396</v>
      </c>
      <c r="M8" s="5">
        <f>L8/K8</f>
        <v>0.12222222222222222</v>
      </c>
      <c r="N8" s="33">
        <f>SUM(AK4:AK33)</f>
        <v>2400000</v>
      </c>
      <c r="O8" s="1">
        <f>L8/G8</f>
        <v>198</v>
      </c>
      <c r="P8" s="32"/>
      <c r="S8" s="78">
        <v>46239</v>
      </c>
      <c r="T8" s="1">
        <v>1</v>
      </c>
      <c r="U8" s="82">
        <v>48</v>
      </c>
      <c r="V8" s="87">
        <v>288000</v>
      </c>
      <c r="W8" s="47"/>
      <c r="X8" s="78">
        <v>46239</v>
      </c>
      <c r="Y8" s="1">
        <v>1</v>
      </c>
      <c r="Z8" s="177">
        <v>192</v>
      </c>
      <c r="AA8" s="179">
        <v>1152000</v>
      </c>
      <c r="AC8" s="78">
        <v>46239</v>
      </c>
      <c r="AD8" s="1">
        <v>1</v>
      </c>
      <c r="AE8" s="83">
        <v>96</v>
      </c>
      <c r="AF8" s="88">
        <v>576000</v>
      </c>
      <c r="AH8" s="78">
        <v>46208</v>
      </c>
      <c r="AI8" s="1"/>
      <c r="AJ8" s="177">
        <v>48</v>
      </c>
      <c r="AK8" s="179">
        <v>288000</v>
      </c>
      <c r="AM8" s="241"/>
      <c r="AN8" s="183" t="s">
        <v>32</v>
      </c>
      <c r="AO8" s="183">
        <v>24</v>
      </c>
      <c r="AP8" s="183">
        <f>COUNTIF(AD4:AD34,1)</f>
        <v>13</v>
      </c>
      <c r="AQ8" s="184">
        <f t="shared" si="10"/>
        <v>0.54166666666666663</v>
      </c>
      <c r="AR8" s="183">
        <f>SUM(AE4:AE10)</f>
        <v>648</v>
      </c>
      <c r="AS8" s="183">
        <f>SUM(AE11:AE17)</f>
        <v>528</v>
      </c>
      <c r="AT8" s="183">
        <f>SUM(AE18:AE24)</f>
        <v>96</v>
      </c>
      <c r="AU8" s="188">
        <f>SUM(AE25:AE34)</f>
        <v>0</v>
      </c>
      <c r="AV8" s="190">
        <f>IFERROR(SUM(AE4:AE10)/COUNTIF(AD4:AD10,1),0)</f>
        <v>108</v>
      </c>
      <c r="AW8" s="190">
        <f>IFERROR(SUM(AE11:AE17)/COUNTIF(AD11:AD17,1),0)</f>
        <v>88</v>
      </c>
      <c r="AX8" s="190">
        <f>IFERROR(SUM(AE18:AE24)/COUNTIF(AD18:AD24,1),0)</f>
        <v>96</v>
      </c>
      <c r="AY8" s="188">
        <f>IFERROR(SUM(AE25:AE34)/COUNTIF(AD25:AD34,1),0)</f>
        <v>0</v>
      </c>
      <c r="AZ8" s="183">
        <f>3240</f>
        <v>3240</v>
      </c>
      <c r="BA8" s="185">
        <f>SUM(AE4:AE34)</f>
        <v>1272</v>
      </c>
      <c r="BB8" s="184">
        <f t="shared" si="0"/>
        <v>0.3925925925925926</v>
      </c>
      <c r="BC8" s="186">
        <f>SUM(AF4:AF34)</f>
        <v>7632000</v>
      </c>
      <c r="BD8" s="202">
        <f t="shared" si="1"/>
        <v>97.84615384615384</v>
      </c>
      <c r="BE8" s="189">
        <f t="shared" ref="BE8:BE19" si="11">IFERROR(BF8/BC8,0)</f>
        <v>0.28916142557651991</v>
      </c>
      <c r="BF8" s="186">
        <f>BG8*AP8</f>
        <v>2206880</v>
      </c>
      <c r="BG8" s="186">
        <v>169760</v>
      </c>
      <c r="BH8" s="201">
        <f t="shared" si="2"/>
        <v>7.4545454545454541</v>
      </c>
      <c r="BI8" s="190">
        <f t="shared" si="3"/>
        <v>178.90909090909091</v>
      </c>
      <c r="BJ8" s="186">
        <f>IFERROR(26*BG8/BM8,0)</f>
        <v>16347259.259259257</v>
      </c>
      <c r="BK8" s="186">
        <f t="shared" si="4"/>
        <v>8715259.2592592575</v>
      </c>
      <c r="BL8" s="184">
        <f t="shared" si="5"/>
        <v>1.9161425576519897E-2</v>
      </c>
      <c r="BM8" s="184">
        <v>0.27</v>
      </c>
      <c r="BN8" s="190">
        <f t="shared" si="6"/>
        <v>178.90909090909091</v>
      </c>
      <c r="BO8" s="201">
        <f t="shared" si="7"/>
        <v>7.4545454545454541</v>
      </c>
      <c r="BP8" s="183">
        <f>3240</f>
        <v>3240</v>
      </c>
      <c r="BQ8" s="183">
        <f t="shared" si="8"/>
        <v>1968</v>
      </c>
      <c r="BR8" s="190">
        <f t="shared" si="9"/>
        <v>82</v>
      </c>
      <c r="BS8" s="193">
        <v>45993</v>
      </c>
    </row>
    <row r="9" spans="1:71" ht="20.100000000000001" customHeight="1">
      <c r="A9" s="243" t="s">
        <v>40</v>
      </c>
      <c r="B9" s="244"/>
      <c r="C9" s="244"/>
      <c r="D9" s="244"/>
      <c r="E9" s="244"/>
      <c r="F9" s="245"/>
      <c r="G9" s="1">
        <f>SUM(G5:G8)</f>
        <v>39</v>
      </c>
      <c r="H9" s="9">
        <f>SUM(H5:H8)</f>
        <v>4680</v>
      </c>
      <c r="I9" s="1">
        <f>SUM(I5:I8)</f>
        <v>4020</v>
      </c>
      <c r="J9" s="5">
        <f>I9/H9</f>
        <v>0.85897435897435892</v>
      </c>
      <c r="K9" s="1">
        <f>SUM(K5:K8)</f>
        <v>12960</v>
      </c>
      <c r="L9" s="1">
        <f>SUM(L5:L8)</f>
        <v>4020</v>
      </c>
      <c r="M9" s="5">
        <f>L9/K9</f>
        <v>0.31018518518518517</v>
      </c>
      <c r="N9" s="6">
        <f>SUM(N5:N8)</f>
        <v>24124000</v>
      </c>
      <c r="O9" s="1">
        <f>I9/G9</f>
        <v>103.07692307692308</v>
      </c>
      <c r="P9" s="39"/>
      <c r="S9" s="78">
        <v>46240</v>
      </c>
      <c r="T9" s="1">
        <v>1</v>
      </c>
      <c r="U9" s="177">
        <v>72</v>
      </c>
      <c r="V9" s="179">
        <v>432000</v>
      </c>
      <c r="W9" s="47"/>
      <c r="X9" s="78">
        <v>46240</v>
      </c>
      <c r="Y9" s="1">
        <v>1</v>
      </c>
      <c r="Z9" s="178">
        <v>216</v>
      </c>
      <c r="AA9" s="180">
        <v>1296000</v>
      </c>
      <c r="AC9" s="78">
        <v>46240</v>
      </c>
      <c r="AD9" s="1">
        <v>1</v>
      </c>
      <c r="AE9" s="83">
        <v>96</v>
      </c>
      <c r="AF9" s="88">
        <v>576000</v>
      </c>
      <c r="AH9" s="78">
        <v>46209</v>
      </c>
      <c r="AI9" s="1"/>
      <c r="AJ9" s="178">
        <v>36</v>
      </c>
      <c r="AK9" s="180">
        <v>216000</v>
      </c>
      <c r="AM9" s="241"/>
      <c r="AN9" s="183" t="s">
        <v>38</v>
      </c>
      <c r="AO9" s="183">
        <v>24</v>
      </c>
      <c r="AP9" s="183">
        <f>COUNTIF(AI4:AI34,1)</f>
        <v>2</v>
      </c>
      <c r="AQ9" s="184">
        <f t="shared" si="10"/>
        <v>8.3333333333333329E-2</v>
      </c>
      <c r="AR9" s="183">
        <f>SUM(AJ4:AJ10)</f>
        <v>252</v>
      </c>
      <c r="AS9" s="183">
        <f>SUM(AJ11:AJ17)</f>
        <v>72</v>
      </c>
      <c r="AT9" s="183">
        <f>SUM(AJ18:AJ24)</f>
        <v>72</v>
      </c>
      <c r="AU9" s="188">
        <f>SUM(AJ25:AJ34)</f>
        <v>0</v>
      </c>
      <c r="AV9" s="190">
        <f>IFERROR(SUM(AJ4:AJ10)/COUNTIF(AI4:AI10,1),0)</f>
        <v>0</v>
      </c>
      <c r="AW9" s="190">
        <f>IFERROR(SUM(AJ11:AJ17)/COUNTIF(AI11:AI17,1),0)</f>
        <v>72</v>
      </c>
      <c r="AX9" s="190">
        <f>IFERROR(SUM(AJ18:AJ24)/COUNTIF(AI18:AI24,1),0)</f>
        <v>72</v>
      </c>
      <c r="AY9" s="188">
        <f>IFERROR(SUM(AJ25:AJ34)/COUNTIF(AI25:AI34,1),0)</f>
        <v>0</v>
      </c>
      <c r="AZ9" s="183">
        <f>3240</f>
        <v>3240</v>
      </c>
      <c r="BA9" s="185">
        <f>SUM(AJ4:AJ34)</f>
        <v>396</v>
      </c>
      <c r="BB9" s="184">
        <f>IFERROR(BA9/AZ9,0)</f>
        <v>0.12222222222222222</v>
      </c>
      <c r="BC9" s="186">
        <f>SUM(AK4:AK34)</f>
        <v>2400000</v>
      </c>
      <c r="BD9" s="202">
        <f t="shared" si="1"/>
        <v>198</v>
      </c>
      <c r="BE9" s="189">
        <f t="shared" si="11"/>
        <v>0.14146666666666666</v>
      </c>
      <c r="BF9" s="186">
        <f>BG9*AP9</f>
        <v>339520</v>
      </c>
      <c r="BG9" s="186">
        <v>169760</v>
      </c>
      <c r="BH9" s="201">
        <f t="shared" si="2"/>
        <v>5.3863636363636367</v>
      </c>
      <c r="BI9" s="190">
        <f t="shared" si="3"/>
        <v>129.27272727272728</v>
      </c>
      <c r="BJ9" s="186">
        <f>IFERROR(26*BG9/BM9,0)</f>
        <v>16347259.259259257</v>
      </c>
      <c r="BK9" s="186">
        <f t="shared" si="4"/>
        <v>13947259.259259257</v>
      </c>
      <c r="BL9" s="184">
        <f t="shared" si="5"/>
        <v>-0.12853333333333336</v>
      </c>
      <c r="BM9" s="184">
        <v>0.27</v>
      </c>
      <c r="BN9" s="190">
        <f t="shared" si="6"/>
        <v>129.27272727272728</v>
      </c>
      <c r="BO9" s="201">
        <f t="shared" si="7"/>
        <v>5.3863636363636367</v>
      </c>
      <c r="BP9" s="183">
        <f>3240</f>
        <v>3240</v>
      </c>
      <c r="BQ9" s="183">
        <f t="shared" si="8"/>
        <v>2844</v>
      </c>
      <c r="BR9" s="190">
        <f t="shared" si="9"/>
        <v>118.5</v>
      </c>
      <c r="BS9" s="193">
        <v>46248</v>
      </c>
    </row>
    <row r="10" spans="1:71" ht="20.100000000000001" customHeight="1">
      <c r="S10" s="78">
        <v>46241</v>
      </c>
      <c r="T10" s="1">
        <v>1</v>
      </c>
      <c r="U10" s="82">
        <v>48</v>
      </c>
      <c r="V10" s="87">
        <v>288000</v>
      </c>
      <c r="W10" s="47"/>
      <c r="X10" s="78">
        <v>46241</v>
      </c>
      <c r="Y10" s="1">
        <v>1</v>
      </c>
      <c r="Z10" s="177">
        <v>144</v>
      </c>
      <c r="AA10" s="179">
        <v>864000</v>
      </c>
      <c r="AB10" s="47"/>
      <c r="AC10" s="78">
        <v>46241</v>
      </c>
      <c r="AD10" s="1">
        <v>1</v>
      </c>
      <c r="AE10" s="83">
        <v>72</v>
      </c>
      <c r="AF10" s="88">
        <v>432000</v>
      </c>
      <c r="AG10" s="47"/>
      <c r="AH10" s="78">
        <v>46210</v>
      </c>
      <c r="AI10" s="4"/>
      <c r="AJ10" s="177">
        <v>96</v>
      </c>
      <c r="AK10" s="179">
        <v>576000</v>
      </c>
      <c r="AM10" s="242" t="s">
        <v>430</v>
      </c>
      <c r="AN10" s="242"/>
      <c r="AO10" s="194">
        <f>SUM(AO6:AO9)</f>
        <v>96</v>
      </c>
      <c r="AP10" s="194">
        <f>SUM(AP6:AP9)</f>
        <v>39</v>
      </c>
      <c r="AQ10" s="195">
        <f t="shared" si="10"/>
        <v>0.40625</v>
      </c>
      <c r="AR10" s="194">
        <f>SUM(AR6:AR9)</f>
        <v>2100</v>
      </c>
      <c r="AS10" s="194">
        <f>SUM(AS6:AS9)</f>
        <v>1488</v>
      </c>
      <c r="AT10" s="194">
        <f>SUM(AT6:AT9)</f>
        <v>432</v>
      </c>
      <c r="AU10" s="194">
        <f>SUM(AU6:AU9)</f>
        <v>0</v>
      </c>
      <c r="AV10" s="199">
        <f>IFERROR(AR10/(COUNTIF(T4:T10,1)+COUNTIF(Y4:Y10,1)+COUNTIF(AD4:AD10,1)+COUNTIF(AI4:AI10,1)),0)</f>
        <v>123.52941176470588</v>
      </c>
      <c r="AW10" s="199">
        <f>IFERROR(AS10/(COUNTIF(T11:T17,1)+COUNTIF(Y11:Y17,1)+COUNTIF(AD11:AD17,1)+COUNTIF(AI11:AI17,1)),0)</f>
        <v>87.529411764705884</v>
      </c>
      <c r="AX10" s="199">
        <f>IFERROR(AT10/(COUNTIF(T18:T24,1)+COUNTIF(Y18:Y24,1)+COUNTIF(AD18:AD24,1)+COUNTIF(AI18:AI24,1)),0)</f>
        <v>86.4</v>
      </c>
      <c r="AY10" s="194">
        <f>IFERROR(AU10/(COUNTIF(T25:T34,1)+COUNTIF(Y25:Y34,1)+COUNTIF(AD25:AD34,1)+COUNTIF(AI25:AI34,1)),0)</f>
        <v>0</v>
      </c>
      <c r="AZ10" s="194">
        <f>SUM(AZ6:AZ9)</f>
        <v>12960</v>
      </c>
      <c r="BA10" s="196">
        <f>SUM(BA6:BA9)</f>
        <v>4020</v>
      </c>
      <c r="BB10" s="195">
        <f t="shared" si="0"/>
        <v>0.31018518518518517</v>
      </c>
      <c r="BC10" s="197">
        <f>SUM(BC6:BC9)</f>
        <v>24124000</v>
      </c>
      <c r="BD10" s="205">
        <f t="shared" si="1"/>
        <v>103.07692307692308</v>
      </c>
      <c r="BE10" s="195">
        <f>IFERROR(BF10/BC10,0)</f>
        <v>0.27444204941137457</v>
      </c>
      <c r="BF10" s="197">
        <f>SUM(BF6:BF9)</f>
        <v>6620640</v>
      </c>
      <c r="BG10" s="197">
        <v>169760</v>
      </c>
      <c r="BH10" s="205">
        <f t="shared" si="2"/>
        <v>6.5350877192982457</v>
      </c>
      <c r="BI10" s="199">
        <f t="shared" si="3"/>
        <v>156.84210526315789</v>
      </c>
      <c r="BJ10" s="197">
        <f>SUM(BJ6:BJ9)</f>
        <v>65389037.03703703</v>
      </c>
      <c r="BK10" s="197">
        <f t="shared" si="4"/>
        <v>41265037.03703703</v>
      </c>
      <c r="BL10" s="195">
        <f t="shared" si="5"/>
        <v>4.442049411374549E-3</v>
      </c>
      <c r="BM10" s="195">
        <v>0.27</v>
      </c>
      <c r="BN10" s="199">
        <f t="shared" si="6"/>
        <v>156.84210526315789</v>
      </c>
      <c r="BO10" s="205">
        <f t="shared" si="7"/>
        <v>6.5350877192982457</v>
      </c>
      <c r="BP10" s="194">
        <f>SUM(BP6:BP9)</f>
        <v>12960</v>
      </c>
      <c r="BQ10" s="194">
        <f t="shared" si="8"/>
        <v>8940</v>
      </c>
      <c r="BR10" s="199">
        <f t="shared" si="9"/>
        <v>372.5</v>
      </c>
      <c r="BS10" s="200"/>
    </row>
    <row r="11" spans="1:71" ht="20.100000000000001" customHeight="1">
      <c r="A11" s="252" t="s">
        <v>41</v>
      </c>
      <c r="B11" s="252"/>
      <c r="S11" s="78">
        <v>46242</v>
      </c>
      <c r="T11" s="1">
        <v>1</v>
      </c>
      <c r="U11" s="177">
        <v>72</v>
      </c>
      <c r="V11" s="179">
        <v>432000</v>
      </c>
      <c r="W11" s="47"/>
      <c r="X11" s="78">
        <v>46242</v>
      </c>
      <c r="Y11" s="1">
        <v>1</v>
      </c>
      <c r="Z11" s="178">
        <v>144</v>
      </c>
      <c r="AA11" s="180">
        <v>864000</v>
      </c>
      <c r="AC11" s="78">
        <v>46242</v>
      </c>
      <c r="AD11" s="1">
        <v>1</v>
      </c>
      <c r="AE11" s="83">
        <v>96</v>
      </c>
      <c r="AF11" s="88">
        <v>576000</v>
      </c>
      <c r="AH11" s="78">
        <v>46211</v>
      </c>
      <c r="AI11" s="1"/>
      <c r="AJ11" s="178">
        <v>24</v>
      </c>
      <c r="AK11" s="180">
        <v>144000</v>
      </c>
      <c r="AM11" s="241" t="s">
        <v>251</v>
      </c>
      <c r="AN11" s="183" t="s">
        <v>55</v>
      </c>
      <c r="AO11" s="183">
        <v>24</v>
      </c>
      <c r="AP11" s="183">
        <f>COUNTIF(AD40:AD70,1)</f>
        <v>13</v>
      </c>
      <c r="AQ11" s="184">
        <f t="shared" si="10"/>
        <v>0.54166666666666663</v>
      </c>
      <c r="AR11" s="183">
        <f>SUM(AE40:AE46)</f>
        <v>192</v>
      </c>
      <c r="AS11" s="183">
        <f>SUM(AE47:AE53)</f>
        <v>240</v>
      </c>
      <c r="AT11" s="183">
        <f>SUM(AE54:AE60)</f>
        <v>48</v>
      </c>
      <c r="AU11" s="188">
        <f>SUM(AE61:AE70)</f>
        <v>0</v>
      </c>
      <c r="AV11" s="190">
        <f>IFERROR(SUM(AE40:AE46)/COUNTIF(AD40:AD46,1),0)</f>
        <v>38.4</v>
      </c>
      <c r="AW11" s="190">
        <f>IFERROR(SUM(AE47:AE53)/COUNTIF(AD47:AD53,1),0)</f>
        <v>40</v>
      </c>
      <c r="AX11" s="190">
        <f>IFERROR(SUM(AE54:AE60)/COUNTIF(AD54:AD60,1),0)</f>
        <v>24</v>
      </c>
      <c r="AY11" s="188">
        <f>IFERROR(SUM(AE61:AE70)/COUNTIF(AD61:AD70,1),0)</f>
        <v>0</v>
      </c>
      <c r="AZ11" s="183">
        <f>3240</f>
        <v>3240</v>
      </c>
      <c r="BA11" s="190">
        <f>SUM(AE40:AE70)</f>
        <v>480</v>
      </c>
      <c r="BB11" s="184">
        <f t="shared" si="0"/>
        <v>0.14814814814814814</v>
      </c>
      <c r="BC11" s="186">
        <f>SUM(AF40:AF70)</f>
        <v>2894400</v>
      </c>
      <c r="BD11" s="202">
        <f t="shared" si="1"/>
        <v>36.92307692307692</v>
      </c>
      <c r="BE11" s="189">
        <f t="shared" si="11"/>
        <v>0.76260468490878941</v>
      </c>
      <c r="BF11" s="186">
        <f>BG11*AP11</f>
        <v>2207283</v>
      </c>
      <c r="BG11" s="186">
        <v>169791</v>
      </c>
      <c r="BH11" s="201">
        <f t="shared" si="2"/>
        <v>10.454545454545455</v>
      </c>
      <c r="BI11" s="190">
        <f t="shared" si="3"/>
        <v>250.90909090909091</v>
      </c>
      <c r="BJ11" s="186">
        <f>IFERROR(26*BG11/BM11,0)</f>
        <v>14715220</v>
      </c>
      <c r="BK11" s="186">
        <f t="shared" si="4"/>
        <v>11820820</v>
      </c>
      <c r="BL11" s="184">
        <f t="shared" si="5"/>
        <v>0.46260468490878942</v>
      </c>
      <c r="BM11" s="184">
        <v>0.3</v>
      </c>
      <c r="BN11" s="190">
        <f t="shared" si="6"/>
        <v>250.90909090909091</v>
      </c>
      <c r="BO11" s="201">
        <f t="shared" si="7"/>
        <v>10.454545454545455</v>
      </c>
      <c r="BP11" s="183">
        <f>3240</f>
        <v>3240</v>
      </c>
      <c r="BQ11" s="183">
        <f t="shared" si="8"/>
        <v>2760</v>
      </c>
      <c r="BR11" s="190">
        <f t="shared" si="9"/>
        <v>115</v>
      </c>
      <c r="BS11" s="193">
        <v>46204</v>
      </c>
    </row>
    <row r="12" spans="1:71" ht="20.100000000000001" customHeight="1">
      <c r="A12" s="264" t="s">
        <v>42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S12" s="78">
        <v>46243</v>
      </c>
      <c r="T12" s="1" t="s">
        <v>30</v>
      </c>
      <c r="U12" s="83"/>
      <c r="V12" s="88"/>
      <c r="W12" s="47"/>
      <c r="X12" s="78">
        <v>46243</v>
      </c>
      <c r="Y12" s="1" t="s">
        <v>30</v>
      </c>
      <c r="Z12" s="83"/>
      <c r="AA12" s="88"/>
      <c r="AC12" s="78">
        <v>46243</v>
      </c>
      <c r="AD12" s="1" t="s">
        <v>30</v>
      </c>
      <c r="AE12" s="83"/>
      <c r="AF12" s="88"/>
      <c r="AH12" s="78">
        <v>46212</v>
      </c>
      <c r="AI12" s="1"/>
      <c r="AJ12" s="83"/>
      <c r="AK12" s="88"/>
      <c r="AM12" s="241"/>
      <c r="AN12" s="183" t="s">
        <v>53</v>
      </c>
      <c r="AO12" s="183">
        <v>24</v>
      </c>
      <c r="AP12" s="183">
        <f>COUNTIF(AI40:AI70,1)</f>
        <v>14</v>
      </c>
      <c r="AQ12" s="184">
        <f t="shared" si="10"/>
        <v>0.58333333333333337</v>
      </c>
      <c r="AR12" s="183">
        <f>SUM(AJ40:AJ46)</f>
        <v>240</v>
      </c>
      <c r="AS12" s="183">
        <f>SUM(AJ47:AJ53)</f>
        <v>264</v>
      </c>
      <c r="AT12" s="183">
        <f>SUM(AJ54:AJ60)</f>
        <v>168</v>
      </c>
      <c r="AU12" s="188">
        <f>SUM(AJ61:AJ70)</f>
        <v>0</v>
      </c>
      <c r="AV12" s="190">
        <f>IFERROR(SUM(AJ40:AJ46)/COUNTIF(AI40:AI46,1),0)</f>
        <v>48</v>
      </c>
      <c r="AW12" s="190">
        <f>IFERROR(SUM(AJ47:AJ53)/COUNTIF(AI47:AI53,1),0)</f>
        <v>44</v>
      </c>
      <c r="AX12" s="190">
        <f>IFERROR(SUM(AJ54:AJ60)/COUNTIF(AI54:AI60,1),0)</f>
        <v>56</v>
      </c>
      <c r="AY12" s="188">
        <f>IFERROR(SUM(AJ61:AJ70)/COUNTIF(AI61:AI70,1),0)</f>
        <v>0</v>
      </c>
      <c r="AZ12" s="183">
        <f>3240</f>
        <v>3240</v>
      </c>
      <c r="BA12" s="190">
        <f>SUM(AJ40:AJ70)</f>
        <v>672</v>
      </c>
      <c r="BB12" s="184">
        <f t="shared" si="0"/>
        <v>0.2074074074074074</v>
      </c>
      <c r="BC12" s="186">
        <f>SUM(AK40:AK70)</f>
        <v>3952800</v>
      </c>
      <c r="BD12" s="202">
        <f t="shared" si="1"/>
        <v>48</v>
      </c>
      <c r="BE12" s="189">
        <f t="shared" si="11"/>
        <v>0.60136460230722522</v>
      </c>
      <c r="BF12" s="186">
        <f>BG12*AP12</f>
        <v>2377074</v>
      </c>
      <c r="BG12" s="186">
        <v>169791</v>
      </c>
      <c r="BH12" s="201">
        <f t="shared" si="2"/>
        <v>10.7</v>
      </c>
      <c r="BI12" s="190">
        <f t="shared" si="3"/>
        <v>256.8</v>
      </c>
      <c r="BJ12" s="186">
        <f>IFERROR(26*BG12/BM12,0)</f>
        <v>14715220</v>
      </c>
      <c r="BK12" s="186">
        <f t="shared" si="4"/>
        <v>10762420</v>
      </c>
      <c r="BL12" s="184">
        <f t="shared" si="5"/>
        <v>0.30136460230722523</v>
      </c>
      <c r="BM12" s="184">
        <v>0.3</v>
      </c>
      <c r="BN12" s="190">
        <f t="shared" si="6"/>
        <v>256.8</v>
      </c>
      <c r="BO12" s="201">
        <f t="shared" si="7"/>
        <v>10.700000000000001</v>
      </c>
      <c r="BP12" s="183">
        <f>3240</f>
        <v>3240</v>
      </c>
      <c r="BQ12" s="183">
        <f t="shared" si="8"/>
        <v>2568</v>
      </c>
      <c r="BR12" s="190">
        <f t="shared" si="9"/>
        <v>107</v>
      </c>
      <c r="BS12" s="193">
        <v>46174</v>
      </c>
    </row>
    <row r="13" spans="1:71" ht="20.100000000000001" customHeight="1">
      <c r="A13" s="265" t="s">
        <v>43</v>
      </c>
      <c r="B13" s="257"/>
      <c r="C13" s="257"/>
      <c r="D13" s="257"/>
      <c r="E13" s="257"/>
      <c r="F13" s="257"/>
      <c r="S13" s="78">
        <v>46244</v>
      </c>
      <c r="T13" s="1">
        <v>1</v>
      </c>
      <c r="U13" s="177">
        <v>72</v>
      </c>
      <c r="V13" s="179">
        <v>432000</v>
      </c>
      <c r="W13" s="47"/>
      <c r="X13" s="78">
        <v>46244</v>
      </c>
      <c r="Y13" s="1">
        <v>1</v>
      </c>
      <c r="Z13" s="177">
        <v>120</v>
      </c>
      <c r="AA13" s="179">
        <v>720000</v>
      </c>
      <c r="AC13" s="78">
        <v>46244</v>
      </c>
      <c r="AD13" s="1">
        <v>1</v>
      </c>
      <c r="AE13" s="83">
        <v>96</v>
      </c>
      <c r="AF13" s="88">
        <v>576000</v>
      </c>
      <c r="AH13" s="78">
        <v>46213</v>
      </c>
      <c r="AI13" s="1"/>
      <c r="AJ13" s="83"/>
      <c r="AK13" s="88"/>
      <c r="AM13" s="242" t="s">
        <v>431</v>
      </c>
      <c r="AN13" s="242"/>
      <c r="AO13" s="194">
        <f>SUM(AO11:AO12)</f>
        <v>48</v>
      </c>
      <c r="AP13" s="194">
        <f>SUM(AP11:AP12)</f>
        <v>27</v>
      </c>
      <c r="AQ13" s="195">
        <f t="shared" si="10"/>
        <v>0.5625</v>
      </c>
      <c r="AR13" s="198">
        <f>SUM(AR11:AR12)</f>
        <v>432</v>
      </c>
      <c r="AS13" s="198">
        <f>SUM(AS11:AS12)</f>
        <v>504</v>
      </c>
      <c r="AT13" s="198">
        <f>SUM(AT11:AT12)</f>
        <v>216</v>
      </c>
      <c r="AU13" s="198">
        <f>SUM(AU11:AU12)</f>
        <v>0</v>
      </c>
      <c r="AV13" s="209">
        <f>IFERROR(AR13/(COUNTIF(AD40:AD46,1)+COUNTIF(AI40:AI46,1)),0)</f>
        <v>43.2</v>
      </c>
      <c r="AW13" s="209">
        <f>IFERROR(AS13/(COUNTIF(AD47:AD53,1)+COUNTIF(AI47:AI53,1)),0)</f>
        <v>42</v>
      </c>
      <c r="AX13" s="209">
        <f>IFERROR(AT13/(COUNTIF(AD54:AD60,1)+COUNTIF(AI54:AI60,1)),0)</f>
        <v>43.2</v>
      </c>
      <c r="AY13" s="198">
        <f>IFERROR(AU13/(COUNTIF(AD61:AD70,1)+COUNTIF(AI61:AI70,1)),0)</f>
        <v>0</v>
      </c>
      <c r="AZ13" s="194">
        <f>SUM(AZ11:AZ12)</f>
        <v>6480</v>
      </c>
      <c r="BA13" s="199">
        <f>SUM(BA11:BA12)</f>
        <v>1152</v>
      </c>
      <c r="BB13" s="195">
        <f t="shared" ref="BB13:BB18" si="12">IFERROR(BA13/AZ13,0)</f>
        <v>0.17777777777777778</v>
      </c>
      <c r="BC13" s="197">
        <f>SUM(BC11:BC12)</f>
        <v>6847200</v>
      </c>
      <c r="BD13" s="205">
        <f t="shared" si="1"/>
        <v>42.666666666666664</v>
      </c>
      <c r="BE13" s="195">
        <f t="shared" si="11"/>
        <v>0.66952287066246052</v>
      </c>
      <c r="BF13" s="197">
        <f>SUM(BF11:BF12)</f>
        <v>4584357</v>
      </c>
      <c r="BG13" s="197">
        <v>169791</v>
      </c>
      <c r="BH13" s="205">
        <f t="shared" si="2"/>
        <v>10.571428571428571</v>
      </c>
      <c r="BI13" s="199">
        <f t="shared" si="3"/>
        <v>253.71428571428572</v>
      </c>
      <c r="BJ13" s="197">
        <f>SUM(BJ11:BJ12)</f>
        <v>29430440</v>
      </c>
      <c r="BK13" s="197">
        <f t="shared" si="4"/>
        <v>22583240</v>
      </c>
      <c r="BL13" s="195">
        <f t="shared" si="5"/>
        <v>0.36952287066246053</v>
      </c>
      <c r="BM13" s="195">
        <v>0.3</v>
      </c>
      <c r="BN13" s="199">
        <f t="shared" si="6"/>
        <v>253.71428571428572</v>
      </c>
      <c r="BO13" s="205">
        <f t="shared" si="7"/>
        <v>10.571428571428571</v>
      </c>
      <c r="BP13" s="194">
        <f>SUM(BP11:BP12)</f>
        <v>6480</v>
      </c>
      <c r="BQ13" s="194">
        <f t="shared" si="8"/>
        <v>5328</v>
      </c>
      <c r="BR13" s="199">
        <f t="shared" si="9"/>
        <v>222</v>
      </c>
      <c r="BS13" s="200"/>
    </row>
    <row r="14" spans="1:71" ht="20.100000000000001" customHeight="1">
      <c r="A14" t="s">
        <v>44</v>
      </c>
      <c r="S14" s="78">
        <v>46245</v>
      </c>
      <c r="T14" s="1">
        <v>1</v>
      </c>
      <c r="U14" s="177">
        <v>72</v>
      </c>
      <c r="V14" s="179">
        <v>432000</v>
      </c>
      <c r="W14" s="47"/>
      <c r="X14" s="78">
        <v>46245</v>
      </c>
      <c r="Y14" s="1" t="s">
        <v>34</v>
      </c>
      <c r="Z14" s="83"/>
      <c r="AA14" s="88"/>
      <c r="AC14" s="78">
        <v>46245</v>
      </c>
      <c r="AD14" s="1">
        <v>1</v>
      </c>
      <c r="AE14" s="83">
        <v>96</v>
      </c>
      <c r="AF14" s="88">
        <v>576000</v>
      </c>
      <c r="AH14" s="78">
        <v>46214</v>
      </c>
      <c r="AI14" s="1"/>
      <c r="AJ14" s="83"/>
      <c r="AK14" s="88"/>
      <c r="AM14" s="241" t="s">
        <v>264</v>
      </c>
      <c r="AN14" s="183" t="s">
        <v>59</v>
      </c>
      <c r="AO14" s="183">
        <v>24</v>
      </c>
      <c r="AP14" s="183">
        <f>COUNTIF(T83:T113,1)</f>
        <v>14</v>
      </c>
      <c r="AQ14" s="184">
        <f t="shared" si="10"/>
        <v>0.58333333333333337</v>
      </c>
      <c r="AR14" s="183">
        <f>SUM(U83:U89)</f>
        <v>354</v>
      </c>
      <c r="AS14" s="183">
        <f>SUM(U90:U96)</f>
        <v>413</v>
      </c>
      <c r="AT14" s="183">
        <f>SUM(U97:U103)</f>
        <v>168</v>
      </c>
      <c r="AU14" s="188">
        <f>SUM(U104:U113)</f>
        <v>0</v>
      </c>
      <c r="AV14" s="190">
        <f>IFERROR(SUM(U83:U89)/COUNTIF(T83:T89,1),0)</f>
        <v>59</v>
      </c>
      <c r="AW14" s="190">
        <f>IFERROR(SUM(U90:U96)/COUNTIF(T90:T96,1),0)</f>
        <v>68.833333333333329</v>
      </c>
      <c r="AX14" s="190">
        <f>IFERROR(SUM(U97:U103)/COUNTIF(T97:T103,1),0)</f>
        <v>84</v>
      </c>
      <c r="AY14" s="188">
        <f>IFERROR(SUM(U104:U113)/COUNTIF(T104:T113,1),0)</f>
        <v>0</v>
      </c>
      <c r="AZ14" s="183">
        <f>3240</f>
        <v>3240</v>
      </c>
      <c r="BA14" s="185">
        <f>SUM(U83:U113)</f>
        <v>935</v>
      </c>
      <c r="BB14" s="184">
        <f t="shared" si="12"/>
        <v>0.28858024691358025</v>
      </c>
      <c r="BC14" s="186">
        <f>SUM(V83:V113)</f>
        <v>5368000</v>
      </c>
      <c r="BD14" s="202">
        <f t="shared" si="1"/>
        <v>66.785714285714292</v>
      </c>
      <c r="BE14" s="189">
        <f t="shared" si="11"/>
        <v>0.42957935916542472</v>
      </c>
      <c r="BF14" s="186">
        <f>BG14*AP14</f>
        <v>2305982</v>
      </c>
      <c r="BG14" s="186">
        <v>164713</v>
      </c>
      <c r="BH14" s="201">
        <f t="shared" si="2"/>
        <v>9.6041666666666679</v>
      </c>
      <c r="BI14" s="190">
        <f t="shared" si="3"/>
        <v>230.5</v>
      </c>
      <c r="BJ14" s="186">
        <f>IFERROR(26*BG14/BM14,0)</f>
        <v>15861251.851851851</v>
      </c>
      <c r="BK14" s="186">
        <f t="shared" si="4"/>
        <v>10493251.851851851</v>
      </c>
      <c r="BL14" s="184">
        <f t="shared" si="5"/>
        <v>0.15957935916542471</v>
      </c>
      <c r="BM14" s="184">
        <v>0.27</v>
      </c>
      <c r="BN14" s="190">
        <f t="shared" si="6"/>
        <v>230.5</v>
      </c>
      <c r="BO14" s="201">
        <f t="shared" si="7"/>
        <v>9.6041666666666661</v>
      </c>
      <c r="BP14" s="183">
        <f>3240</f>
        <v>3240</v>
      </c>
      <c r="BQ14" s="183">
        <f t="shared" si="8"/>
        <v>2305</v>
      </c>
      <c r="BR14" s="190">
        <f t="shared" si="9"/>
        <v>96.041666666666671</v>
      </c>
      <c r="BS14" s="193">
        <v>46018</v>
      </c>
    </row>
    <row r="15" spans="1:71" ht="20.100000000000001" customHeight="1">
      <c r="A15" s="86" t="s">
        <v>45</v>
      </c>
      <c r="P15" s="39"/>
      <c r="S15" s="78">
        <v>46246</v>
      </c>
      <c r="T15" s="1">
        <v>1</v>
      </c>
      <c r="U15" s="177">
        <v>72</v>
      </c>
      <c r="V15" s="179">
        <v>432000</v>
      </c>
      <c r="W15" s="47"/>
      <c r="X15" s="78">
        <v>46246</v>
      </c>
      <c r="Y15" s="1" t="s">
        <v>34</v>
      </c>
      <c r="Z15" s="83"/>
      <c r="AA15" s="88"/>
      <c r="AC15" s="78">
        <v>46246</v>
      </c>
      <c r="AD15" s="1">
        <v>1</v>
      </c>
      <c r="AE15" s="83">
        <v>72</v>
      </c>
      <c r="AF15" s="88">
        <v>432000</v>
      </c>
      <c r="AH15" s="78">
        <v>46215</v>
      </c>
      <c r="AI15" s="1"/>
      <c r="AJ15" s="83"/>
      <c r="AK15" s="88"/>
      <c r="AM15" s="241"/>
      <c r="AN15" s="183" t="s">
        <v>62</v>
      </c>
      <c r="AO15" s="183">
        <v>24</v>
      </c>
      <c r="AP15" s="183">
        <f>COUNTIF(Y83:Y113,1)</f>
        <v>14</v>
      </c>
      <c r="AQ15" s="184">
        <f t="shared" si="10"/>
        <v>0.58333333333333337</v>
      </c>
      <c r="AR15" s="183">
        <f>SUM(Z83:Z89)</f>
        <v>410</v>
      </c>
      <c r="AS15" s="183">
        <f>SUM(Z90:Z96)</f>
        <v>466</v>
      </c>
      <c r="AT15" s="183">
        <f>SUM(Z97:Z103)</f>
        <v>120</v>
      </c>
      <c r="AU15" s="188">
        <f>SUM(Z104:Z113)</f>
        <v>0</v>
      </c>
      <c r="AV15" s="190">
        <f>IFERROR(SUM(Z83:Z89)/COUNTIF(Y83:Y89,1),0)</f>
        <v>68.333333333333329</v>
      </c>
      <c r="AW15" s="190">
        <f>IFERROR(SUM(Z90:Z96)/COUNTIF(Y90:Y96,1),0)</f>
        <v>77.666666666666671</v>
      </c>
      <c r="AX15" s="190">
        <f>IFERROR(SUM(Z97:Z103)/COUNTIF(Y97:Y103,1),0)</f>
        <v>60</v>
      </c>
      <c r="AY15" s="188">
        <f>IFERROR(SUM(Z104:Z113)/COUNTIF(Y104:Y113,1),0)</f>
        <v>0</v>
      </c>
      <c r="AZ15" s="183">
        <f>3240</f>
        <v>3240</v>
      </c>
      <c r="BA15" s="185">
        <f>SUM(Z83:Z113)</f>
        <v>996</v>
      </c>
      <c r="BB15" s="184">
        <f t="shared" si="12"/>
        <v>0.30740740740740741</v>
      </c>
      <c r="BC15" s="186">
        <f>SUM(AA83:AA113)</f>
        <v>5976000</v>
      </c>
      <c r="BD15" s="202">
        <f t="shared" si="1"/>
        <v>71.142857142857139</v>
      </c>
      <c r="BE15" s="189">
        <f t="shared" si="11"/>
        <v>0.38587382864792502</v>
      </c>
      <c r="BF15" s="186">
        <f>BG15*AP15</f>
        <v>2305982</v>
      </c>
      <c r="BG15" s="186">
        <v>164713</v>
      </c>
      <c r="BH15" s="201">
        <f t="shared" si="2"/>
        <v>9.35</v>
      </c>
      <c r="BI15" s="190">
        <f t="shared" si="3"/>
        <v>224.4</v>
      </c>
      <c r="BJ15" s="186">
        <f>IFERROR(26*BG15/BM15,0)</f>
        <v>15861251.851851851</v>
      </c>
      <c r="BK15" s="186">
        <f t="shared" si="4"/>
        <v>9885251.8518518507</v>
      </c>
      <c r="BL15" s="184">
        <f t="shared" si="5"/>
        <v>0.115873828647925</v>
      </c>
      <c r="BM15" s="184">
        <v>0.27</v>
      </c>
      <c r="BN15" s="190">
        <f t="shared" si="6"/>
        <v>224.4</v>
      </c>
      <c r="BO15" s="201">
        <f t="shared" si="7"/>
        <v>9.35</v>
      </c>
      <c r="BP15" s="183">
        <f>3240</f>
        <v>3240</v>
      </c>
      <c r="BQ15" s="183">
        <f t="shared" si="8"/>
        <v>2244</v>
      </c>
      <c r="BR15" s="190">
        <f t="shared" si="9"/>
        <v>93.5</v>
      </c>
      <c r="BS15" s="193">
        <v>46120</v>
      </c>
    </row>
    <row r="16" spans="1:71" ht="20.100000000000001" customHeight="1">
      <c r="A16" s="86"/>
      <c r="C16" s="85"/>
      <c r="D16" s="85"/>
      <c r="E16" s="85"/>
      <c r="F16" s="85"/>
      <c r="G16" s="85"/>
      <c r="H16" s="85"/>
      <c r="I16" s="85"/>
      <c r="P16" s="32"/>
      <c r="S16" s="78">
        <v>46247</v>
      </c>
      <c r="T16" s="1">
        <v>1</v>
      </c>
      <c r="U16" s="177">
        <v>72</v>
      </c>
      <c r="V16" s="179">
        <v>432000</v>
      </c>
      <c r="W16" s="47"/>
      <c r="X16" s="78">
        <v>46247</v>
      </c>
      <c r="Y16" s="1">
        <v>1</v>
      </c>
      <c r="Z16" s="178">
        <v>96</v>
      </c>
      <c r="AA16" s="180">
        <v>576000</v>
      </c>
      <c r="AC16" s="78">
        <v>46247</v>
      </c>
      <c r="AD16" s="1">
        <v>1</v>
      </c>
      <c r="AE16" s="83">
        <v>96</v>
      </c>
      <c r="AF16" s="88">
        <v>576000</v>
      </c>
      <c r="AH16" s="78">
        <v>46216</v>
      </c>
      <c r="AI16" s="1"/>
      <c r="AJ16" s="83"/>
      <c r="AK16" s="88"/>
      <c r="AM16" s="242" t="s">
        <v>432</v>
      </c>
      <c r="AN16" s="242"/>
      <c r="AO16" s="194">
        <f>SUM(AO14:AO15)</f>
        <v>48</v>
      </c>
      <c r="AP16" s="194">
        <f>SUM(AP14:AP15)</f>
        <v>28</v>
      </c>
      <c r="AQ16" s="195">
        <f t="shared" si="10"/>
        <v>0.58333333333333337</v>
      </c>
      <c r="AR16" s="194">
        <f>SUM(AR14:AR15)</f>
        <v>764</v>
      </c>
      <c r="AS16" s="194">
        <f>SUM(AS14:AS15)</f>
        <v>879</v>
      </c>
      <c r="AT16" s="194">
        <f>SUM(AT14:AT15)</f>
        <v>288</v>
      </c>
      <c r="AU16" s="194">
        <f>SUM(AU14:AU15)</f>
        <v>0</v>
      </c>
      <c r="AV16" s="199">
        <f>IFERROR(AR16/(COUNTIF(T83:T89,1)+COUNTIF(Y83:Y89,1)),0)</f>
        <v>63.666666666666664</v>
      </c>
      <c r="AW16" s="199">
        <f>IFERROR(AS16/(COUNTIF(T90:T96,1)+COUNTIF(Y90:Y96,1)),0)</f>
        <v>73.25</v>
      </c>
      <c r="AX16" s="199">
        <f>IFERROR(AT16/(COUNTIF(T97:T103,1)+COUNTIF(Y97:Y103,1)),0)</f>
        <v>72</v>
      </c>
      <c r="AY16" s="194">
        <f>IFERROR(AU16/(COUNTIF(T104:T113,1)+COUNTIF(Y104:Y113,1)),0)</f>
        <v>0</v>
      </c>
      <c r="AZ16" s="194">
        <f>SUM(AZ14:AZ15)</f>
        <v>6480</v>
      </c>
      <c r="BA16" s="196">
        <f>SUM(BA14:BA15)</f>
        <v>1931</v>
      </c>
      <c r="BB16" s="195">
        <f t="shared" si="12"/>
        <v>0.29799382716049383</v>
      </c>
      <c r="BC16" s="197">
        <f>SUM(BC14:BC15)</f>
        <v>11344000</v>
      </c>
      <c r="BD16" s="205">
        <f t="shared" si="1"/>
        <v>68.964285714285708</v>
      </c>
      <c r="BE16" s="195">
        <f t="shared" si="11"/>
        <v>0.40655535966149509</v>
      </c>
      <c r="BF16" s="197">
        <f>SUM(BF14:BF15)</f>
        <v>4611964</v>
      </c>
      <c r="BG16" s="197">
        <v>164713</v>
      </c>
      <c r="BH16" s="205">
        <f t="shared" si="2"/>
        <v>9.4770833333333329</v>
      </c>
      <c r="BI16" s="199">
        <f t="shared" si="3"/>
        <v>227.45</v>
      </c>
      <c r="BJ16" s="197">
        <f>SUM(BJ14:BJ15)</f>
        <v>31722503.703703701</v>
      </c>
      <c r="BK16" s="197">
        <f t="shared" si="4"/>
        <v>20378503.703703701</v>
      </c>
      <c r="BL16" s="195">
        <f t="shared" si="5"/>
        <v>0.13655535966149507</v>
      </c>
      <c r="BM16" s="195">
        <v>0.27</v>
      </c>
      <c r="BN16" s="199">
        <f t="shared" si="6"/>
        <v>227.45</v>
      </c>
      <c r="BO16" s="205">
        <f t="shared" si="7"/>
        <v>9.4770833333333329</v>
      </c>
      <c r="BP16" s="194">
        <f>SUM(BP14:BP15)</f>
        <v>6480</v>
      </c>
      <c r="BQ16" s="194">
        <f t="shared" si="8"/>
        <v>4549</v>
      </c>
      <c r="BR16" s="199">
        <f t="shared" si="9"/>
        <v>189.54166666666666</v>
      </c>
      <c r="BS16" s="200"/>
    </row>
    <row r="17" spans="1:87" ht="20.100000000000001" customHeight="1">
      <c r="A17" s="252" t="s">
        <v>46</v>
      </c>
      <c r="B17" s="252"/>
      <c r="P17" s="30"/>
      <c r="S17" s="78">
        <v>46248</v>
      </c>
      <c r="T17" s="1">
        <v>1</v>
      </c>
      <c r="U17" s="177">
        <v>72</v>
      </c>
      <c r="V17" s="179">
        <v>432000</v>
      </c>
      <c r="W17" s="47"/>
      <c r="X17" s="78">
        <v>46248</v>
      </c>
      <c r="Y17" s="1">
        <v>1</v>
      </c>
      <c r="Z17" s="177">
        <v>96</v>
      </c>
      <c r="AA17" s="179">
        <v>576000</v>
      </c>
      <c r="AC17" s="78">
        <v>46248</v>
      </c>
      <c r="AD17" s="1">
        <v>1</v>
      </c>
      <c r="AE17" s="83">
        <v>72</v>
      </c>
      <c r="AF17" s="88">
        <v>432000</v>
      </c>
      <c r="AH17" s="78">
        <v>46217</v>
      </c>
      <c r="AI17" s="4">
        <v>1</v>
      </c>
      <c r="AJ17" s="177">
        <v>48</v>
      </c>
      <c r="AK17" s="179">
        <v>288000</v>
      </c>
      <c r="AM17" s="241" t="s">
        <v>269</v>
      </c>
      <c r="AN17" s="183" t="s">
        <v>73</v>
      </c>
      <c r="AO17" s="183">
        <v>24</v>
      </c>
      <c r="AP17" s="183">
        <f>COUNTIF(T40:T70,1)</f>
        <v>13</v>
      </c>
      <c r="AQ17" s="184">
        <f t="shared" si="10"/>
        <v>0.54166666666666663</v>
      </c>
      <c r="AR17" s="183">
        <f>SUM(U40:U46)</f>
        <v>240</v>
      </c>
      <c r="AS17" s="183">
        <f>SUM(U47:U53)</f>
        <v>456</v>
      </c>
      <c r="AT17" s="183">
        <f>SUM(U54:U60)</f>
        <v>168</v>
      </c>
      <c r="AU17" s="188">
        <f>SUM(U61:U70)</f>
        <v>0</v>
      </c>
      <c r="AV17" s="190">
        <f>IFERROR(SUM(U40:U46)/COUNTIF(T40:T46,1),0)</f>
        <v>48</v>
      </c>
      <c r="AW17" s="190">
        <f>IFERROR(SUM(U47:U53)/COUNTIF(T47:T53,1),0)</f>
        <v>76</v>
      </c>
      <c r="AX17" s="190">
        <f>IFERROR(SUM(U54:U60)/COUNTIF(T54:T60,1),0)</f>
        <v>84</v>
      </c>
      <c r="AY17" s="188">
        <f>IFERROR(SUM(U61:U70)/COUNTIF(T61:T70,1),0)</f>
        <v>0</v>
      </c>
      <c r="AZ17" s="183">
        <f>3240</f>
        <v>3240</v>
      </c>
      <c r="BA17" s="183">
        <f>SUM(U40:U70)</f>
        <v>864</v>
      </c>
      <c r="BB17" s="184">
        <f t="shared" si="12"/>
        <v>0.26666666666666666</v>
      </c>
      <c r="BC17" s="186">
        <f>SUM(V40:V70)</f>
        <v>5616000</v>
      </c>
      <c r="BD17" s="202">
        <f t="shared" si="1"/>
        <v>66.461538461538467</v>
      </c>
      <c r="BE17" s="189">
        <f t="shared" si="11"/>
        <v>0.40435879629629629</v>
      </c>
      <c r="BF17" s="186">
        <f>BG17*AP17</f>
        <v>2270879</v>
      </c>
      <c r="BG17" s="186">
        <v>174683</v>
      </c>
      <c r="BH17" s="201">
        <f t="shared" si="2"/>
        <v>9</v>
      </c>
      <c r="BI17" s="190">
        <f t="shared" si="3"/>
        <v>216</v>
      </c>
      <c r="BJ17" s="186">
        <f>IFERROR(26*BG17/BM17,0)</f>
        <v>15139193.333333334</v>
      </c>
      <c r="BK17" s="186">
        <f t="shared" si="4"/>
        <v>9523193.333333334</v>
      </c>
      <c r="BL17" s="184">
        <f t="shared" si="5"/>
        <v>0.1043587962962963</v>
      </c>
      <c r="BM17" s="184">
        <v>0.3</v>
      </c>
      <c r="BN17" s="190">
        <f t="shared" si="6"/>
        <v>216</v>
      </c>
      <c r="BO17" s="201">
        <f t="shared" si="7"/>
        <v>9</v>
      </c>
      <c r="BP17" s="183">
        <f>3240</f>
        <v>3240</v>
      </c>
      <c r="BQ17" s="183">
        <f t="shared" si="8"/>
        <v>2376</v>
      </c>
      <c r="BR17" s="190">
        <f t="shared" si="9"/>
        <v>99</v>
      </c>
      <c r="BS17" s="193">
        <v>46060</v>
      </c>
    </row>
    <row r="18" spans="1:87" ht="20.100000000000001" customHeight="1">
      <c r="A18" t="s">
        <v>47</v>
      </c>
      <c r="S18" s="78">
        <v>46249</v>
      </c>
      <c r="T18" s="1">
        <v>1</v>
      </c>
      <c r="U18" s="177">
        <v>72</v>
      </c>
      <c r="V18" s="179">
        <v>432000</v>
      </c>
      <c r="W18" s="47"/>
      <c r="X18" s="78">
        <v>46249</v>
      </c>
      <c r="Y18" s="1">
        <v>1</v>
      </c>
      <c r="Z18" s="178">
        <v>120</v>
      </c>
      <c r="AA18" s="180">
        <v>700000</v>
      </c>
      <c r="AC18" s="78">
        <v>46249</v>
      </c>
      <c r="AD18" s="1">
        <v>1</v>
      </c>
      <c r="AE18" s="83">
        <v>96</v>
      </c>
      <c r="AF18" s="88">
        <v>576000</v>
      </c>
      <c r="AH18" s="78">
        <v>46218</v>
      </c>
      <c r="AI18" s="1">
        <v>1</v>
      </c>
      <c r="AJ18" s="83">
        <v>72</v>
      </c>
      <c r="AK18" s="88">
        <v>432000</v>
      </c>
      <c r="AM18" s="241"/>
      <c r="AN18" s="183" t="s">
        <v>167</v>
      </c>
      <c r="AO18" s="183">
        <v>24</v>
      </c>
      <c r="AP18" s="183">
        <f>COUNTIF(Y40:Y70,1)</f>
        <v>14</v>
      </c>
      <c r="AQ18" s="184">
        <f t="shared" si="10"/>
        <v>0.58333333333333337</v>
      </c>
      <c r="AR18" s="183">
        <f>SUM(Z40:Z46)</f>
        <v>312</v>
      </c>
      <c r="AS18" s="183">
        <f>SUM(Z47:Z53)</f>
        <v>384</v>
      </c>
      <c r="AT18" s="183">
        <f>SUM(Z54:Z60)</f>
        <v>120</v>
      </c>
      <c r="AU18" s="188">
        <f>SUM(Z61:Z70)</f>
        <v>0</v>
      </c>
      <c r="AV18" s="190">
        <f>IFERROR(SUM(Z40:Z46)/COUNTIF(Y40:Y46,1),0)</f>
        <v>52</v>
      </c>
      <c r="AW18" s="190">
        <f>IFERROR(SUM(Z47:Z53)/COUNTIF(Y47:Y53,1),0)</f>
        <v>64</v>
      </c>
      <c r="AX18" s="190">
        <f>IFERROR(SUM(Z54:Z60)/COUNTIF(Y54:Y60,1),0)</f>
        <v>60</v>
      </c>
      <c r="AY18" s="188">
        <f>IFERROR(SUM(Z61:Z70)/COUNTIF(Y61:Y70,1),0)</f>
        <v>0</v>
      </c>
      <c r="AZ18" s="183">
        <f>3240</f>
        <v>3240</v>
      </c>
      <c r="BA18" s="183">
        <f>SUM(Z40:Z70)</f>
        <v>816</v>
      </c>
      <c r="BB18" s="184">
        <f t="shared" si="12"/>
        <v>0.25185185185185183</v>
      </c>
      <c r="BC18" s="186">
        <f>SUM(AA40:AA70)</f>
        <v>5112000</v>
      </c>
      <c r="BD18" s="202">
        <f t="shared" si="1"/>
        <v>58.285714285714285</v>
      </c>
      <c r="BE18" s="189">
        <f>IFERROR(BF18/BC18,0)</f>
        <v>0.47839632237871677</v>
      </c>
      <c r="BF18" s="186">
        <f>BG18*AP18</f>
        <v>2445562</v>
      </c>
      <c r="BG18" s="186">
        <v>174683</v>
      </c>
      <c r="BH18" s="201">
        <f t="shared" si="2"/>
        <v>10.1</v>
      </c>
      <c r="BI18" s="190">
        <f t="shared" si="3"/>
        <v>242.4</v>
      </c>
      <c r="BJ18" s="186">
        <f>IFERROR(26*BG18/BM18,0)</f>
        <v>15139193.333333334</v>
      </c>
      <c r="BK18" s="186">
        <f t="shared" si="4"/>
        <v>10027193.333333334</v>
      </c>
      <c r="BL18" s="184">
        <f t="shared" si="5"/>
        <v>0.17839632237871678</v>
      </c>
      <c r="BM18" s="184">
        <v>0.3</v>
      </c>
      <c r="BN18" s="190">
        <f t="shared" si="6"/>
        <v>242.4</v>
      </c>
      <c r="BO18" s="201">
        <f t="shared" si="7"/>
        <v>10.1</v>
      </c>
      <c r="BP18" s="183">
        <f>3240</f>
        <v>3240</v>
      </c>
      <c r="BQ18" s="183">
        <f t="shared" si="8"/>
        <v>2424</v>
      </c>
      <c r="BR18" s="190">
        <f t="shared" si="9"/>
        <v>101</v>
      </c>
      <c r="BS18" s="193">
        <v>46073</v>
      </c>
    </row>
    <row r="19" spans="1:87" ht="20.100000000000001" customHeight="1">
      <c r="A19" t="s">
        <v>48</v>
      </c>
      <c r="S19" s="78">
        <v>46250</v>
      </c>
      <c r="T19" s="1" t="s">
        <v>30</v>
      </c>
      <c r="U19" s="82"/>
      <c r="V19" s="87"/>
      <c r="W19" s="47"/>
      <c r="X19" s="78">
        <v>46250</v>
      </c>
      <c r="Y19" s="1">
        <v>1</v>
      </c>
      <c r="Z19" s="177">
        <v>72</v>
      </c>
      <c r="AA19" s="179">
        <v>432000</v>
      </c>
      <c r="AC19" s="78">
        <v>46250</v>
      </c>
      <c r="AD19" s="1" t="s">
        <v>30</v>
      </c>
      <c r="AE19" s="82"/>
      <c r="AF19" s="87"/>
      <c r="AH19" s="78">
        <v>46219</v>
      </c>
      <c r="AI19" s="4"/>
      <c r="AJ19" s="81"/>
      <c r="AK19" s="140"/>
      <c r="AM19" s="242" t="s">
        <v>433</v>
      </c>
      <c r="AN19" s="242"/>
      <c r="AO19" s="194">
        <f>SUM(AO17:AO18)</f>
        <v>48</v>
      </c>
      <c r="AP19" s="194">
        <f>SUM(AP17:AP18)</f>
        <v>27</v>
      </c>
      <c r="AQ19" s="195">
        <f t="shared" si="10"/>
        <v>0.5625</v>
      </c>
      <c r="AR19" s="194">
        <f>SUM(AR17:AR18)</f>
        <v>552</v>
      </c>
      <c r="AS19" s="194">
        <f>SUM(AS17:AS18)</f>
        <v>840</v>
      </c>
      <c r="AT19" s="194">
        <f>SUM(AT17:AT18)</f>
        <v>288</v>
      </c>
      <c r="AU19" s="194">
        <f>SUM(AU17:AU18)</f>
        <v>0</v>
      </c>
      <c r="AV19" s="199">
        <f>IFERROR(AR19/(COUNTIF(T40:T46,1)+COUNTIF(Y40:Y46,1)),0)</f>
        <v>50.18181818181818</v>
      </c>
      <c r="AW19" s="199">
        <f>IFERROR(AS19/(COUNTIF(T47:T53,1)+COUNTIF(Y47:Y53,1)),0)</f>
        <v>70</v>
      </c>
      <c r="AX19" s="199">
        <f>IFERROR(AT19/(COUNTIF(T54:T60,1)+COUNTIF(Y54:Y60,1)),0)</f>
        <v>72</v>
      </c>
      <c r="AY19" s="194">
        <f>IFERROR(AU19/(COUNTIF(T61:T70,1)+COUNTIF(Y61:Y70,1)),0)</f>
        <v>0</v>
      </c>
      <c r="AZ19" s="194">
        <f>SUM(AZ17:AZ18)</f>
        <v>6480</v>
      </c>
      <c r="BA19" s="194">
        <f>SUM(BA17:BA18)</f>
        <v>1680</v>
      </c>
      <c r="BB19" s="195">
        <f t="shared" ref="BB19:BB27" si="13">IFERROR(BA19/AZ19,0)</f>
        <v>0.25925925925925924</v>
      </c>
      <c r="BC19" s="197">
        <f>SUM(BC17:BC18)</f>
        <v>10728000</v>
      </c>
      <c r="BD19" s="205">
        <f t="shared" si="1"/>
        <v>62.222222222222221</v>
      </c>
      <c r="BE19" s="195">
        <f t="shared" si="11"/>
        <v>0.43963842281879195</v>
      </c>
      <c r="BF19" s="197">
        <f>SUM(BF17:BF18)</f>
        <v>4716441</v>
      </c>
      <c r="BG19" s="197">
        <v>174683</v>
      </c>
      <c r="BH19" s="205">
        <f t="shared" si="2"/>
        <v>9.5238095238095237</v>
      </c>
      <c r="BI19" s="199">
        <f t="shared" si="3"/>
        <v>228.57142857142858</v>
      </c>
      <c r="BJ19" s="197">
        <f>SUM(BJ17:BJ18)</f>
        <v>30278386.666666668</v>
      </c>
      <c r="BK19" s="197">
        <f t="shared" si="4"/>
        <v>19550386.666666668</v>
      </c>
      <c r="BL19" s="195">
        <f t="shared" si="5"/>
        <v>0.13963842281879196</v>
      </c>
      <c r="BM19" s="195">
        <v>0.3</v>
      </c>
      <c r="BN19" s="199">
        <f t="shared" si="6"/>
        <v>228.57142857142858</v>
      </c>
      <c r="BO19" s="205">
        <f t="shared" si="7"/>
        <v>9.5238095238095237</v>
      </c>
      <c r="BP19" s="194">
        <f>SUM(BP17:BP18)</f>
        <v>6480</v>
      </c>
      <c r="BQ19" s="194">
        <f t="shared" si="8"/>
        <v>4800</v>
      </c>
      <c r="BR19" s="199">
        <f t="shared" si="9"/>
        <v>200</v>
      </c>
      <c r="BS19" s="200"/>
    </row>
    <row r="20" spans="1:87" ht="20.100000000000001" customHeight="1">
      <c r="A20" t="s">
        <v>49</v>
      </c>
      <c r="S20" s="78">
        <v>46251</v>
      </c>
      <c r="T20" s="1" t="s">
        <v>34</v>
      </c>
      <c r="U20" s="83"/>
      <c r="V20" s="88"/>
      <c r="W20" s="47"/>
      <c r="X20" s="78">
        <v>46251</v>
      </c>
      <c r="Y20" s="1" t="s">
        <v>50</v>
      </c>
      <c r="Z20" s="83"/>
      <c r="AA20" s="88"/>
      <c r="AC20" s="78">
        <v>46251</v>
      </c>
      <c r="AD20" s="1" t="s">
        <v>50</v>
      </c>
      <c r="AE20" s="83"/>
      <c r="AF20" s="88"/>
      <c r="AH20" s="78">
        <v>46220</v>
      </c>
      <c r="AI20" s="1"/>
      <c r="AJ20" s="83"/>
      <c r="AK20" s="88"/>
      <c r="AM20" s="241" t="s">
        <v>349</v>
      </c>
      <c r="AN20" s="183" t="s">
        <v>114</v>
      </c>
      <c r="AO20" s="183">
        <v>24</v>
      </c>
      <c r="AP20" s="183">
        <f>COUNTIF(T119:T149,1)</f>
        <v>16</v>
      </c>
      <c r="AQ20" s="184">
        <f t="shared" ref="AQ20:AQ25" si="14">IFERROR(AP20/AO20,0)</f>
        <v>0.66666666666666663</v>
      </c>
      <c r="AR20" s="183">
        <f>SUM(U119:U125)</f>
        <v>204</v>
      </c>
      <c r="AS20" s="183">
        <f>SUM(U126:U132)</f>
        <v>151</v>
      </c>
      <c r="AT20" s="183">
        <f>SUM(U133:U139)</f>
        <v>132</v>
      </c>
      <c r="AU20" s="183">
        <f>SUM(U140:U149)</f>
        <v>0</v>
      </c>
      <c r="AV20" s="190">
        <f>IFERROR(SUM(U119:U125)/COUNTIF(T119:T125,1),0)</f>
        <v>34</v>
      </c>
      <c r="AW20" s="190">
        <f>IFERROR(SUM(U126:U132)/COUNTIF(T126:T132,1),0)</f>
        <v>25.166666666666668</v>
      </c>
      <c r="AX20" s="190">
        <f>IFERROR(SUM(U133:U139)/COUNTIF(T133:T139,1),0)</f>
        <v>33</v>
      </c>
      <c r="AY20" s="183">
        <f>IFERROR(SUM(U140:U149)/COUNTIF(T140:T149,1),0)</f>
        <v>0</v>
      </c>
      <c r="AZ20" s="183">
        <f>3240</f>
        <v>3240</v>
      </c>
      <c r="BA20" s="183">
        <f>SUM(U119:U149)</f>
        <v>487</v>
      </c>
      <c r="BB20" s="184">
        <f t="shared" si="13"/>
        <v>0.15030864197530863</v>
      </c>
      <c r="BC20" s="186">
        <f>SUM(V119:V149)</f>
        <v>3251000</v>
      </c>
      <c r="BD20" s="202">
        <f t="shared" si="1"/>
        <v>30.4375</v>
      </c>
      <c r="BE20" s="189">
        <f t="shared" ref="BE20:BE25" si="15">IFERROR(BF20/BC20,0)</f>
        <v>0.89081267302368505</v>
      </c>
      <c r="BF20" s="186">
        <f>BG20*AP20</f>
        <v>2896032</v>
      </c>
      <c r="BG20" s="186">
        <v>181002</v>
      </c>
      <c r="BH20" s="201">
        <f t="shared" si="2"/>
        <v>14.338541666666666</v>
      </c>
      <c r="BI20" s="190">
        <f t="shared" si="3"/>
        <v>344.125</v>
      </c>
      <c r="BJ20" s="186">
        <f>IFERROR(26*BG20/BM20,0)</f>
        <v>15686840</v>
      </c>
      <c r="BK20" s="186">
        <f t="shared" si="4"/>
        <v>12435840</v>
      </c>
      <c r="BL20" s="184">
        <f t="shared" si="5"/>
        <v>0.59081267302368512</v>
      </c>
      <c r="BM20" s="184">
        <v>0.3</v>
      </c>
      <c r="BN20" s="190">
        <f t="shared" si="6"/>
        <v>344.125</v>
      </c>
      <c r="BO20" s="202">
        <f t="shared" si="7"/>
        <v>14.338541666666666</v>
      </c>
      <c r="BP20" s="183">
        <f>3240</f>
        <v>3240</v>
      </c>
      <c r="BQ20" s="183">
        <f t="shared" si="8"/>
        <v>2753</v>
      </c>
      <c r="BR20" s="190">
        <f t="shared" si="9"/>
        <v>114.70833333333333</v>
      </c>
      <c r="BS20" s="193">
        <v>46057</v>
      </c>
    </row>
    <row r="21" spans="1:87" ht="20.100000000000001" customHeight="1">
      <c r="S21" s="78">
        <v>46252</v>
      </c>
      <c r="T21" s="1"/>
      <c r="U21" s="82"/>
      <c r="V21" s="87"/>
      <c r="W21" s="47"/>
      <c r="X21" s="78">
        <v>46252</v>
      </c>
      <c r="Y21" s="1"/>
      <c r="Z21" s="82"/>
      <c r="AA21" s="87"/>
      <c r="AC21" s="78">
        <v>46252</v>
      </c>
      <c r="AD21" s="1"/>
      <c r="AE21" s="82"/>
      <c r="AF21" s="87"/>
      <c r="AH21" s="78">
        <v>46221</v>
      </c>
      <c r="AI21" s="1"/>
      <c r="AJ21" s="82"/>
      <c r="AK21" s="87"/>
      <c r="AM21" s="241"/>
      <c r="AN21" s="183" t="s">
        <v>434</v>
      </c>
      <c r="AO21" s="183">
        <v>24</v>
      </c>
      <c r="AP21" s="183">
        <f>COUNTIF(Y119:Y149,1)</f>
        <v>13</v>
      </c>
      <c r="AQ21" s="184">
        <f t="shared" si="14"/>
        <v>0.54166666666666663</v>
      </c>
      <c r="AR21" s="183">
        <f>SUM(Z119:Z125)</f>
        <v>65</v>
      </c>
      <c r="AS21" s="183">
        <f>SUM(Z126:Z132)</f>
        <v>47</v>
      </c>
      <c r="AT21" s="183">
        <f>SUM(Z133:Z139)</f>
        <v>111</v>
      </c>
      <c r="AU21" s="183">
        <f>SUM(Z140:Z149)</f>
        <v>0</v>
      </c>
      <c r="AV21" s="190">
        <f>IFERROR(SUM(Z119:Z125)/COUNTIF(Y119:Y125,1),0)</f>
        <v>13</v>
      </c>
      <c r="AW21" s="190">
        <f>IFERROR(SUM(Z126:Z132)/COUNTIF(Y126:Y132,1),0)</f>
        <v>11.75</v>
      </c>
      <c r="AX21" s="190">
        <f>IFERROR(SUM(Z133:Z139)/COUNTIF(Y133:Y139,1),0)</f>
        <v>27.75</v>
      </c>
      <c r="AY21" s="183">
        <f>IFERROR(SUM(Z140:Z149)/COUNTIF(Y140:Y149,1),0)</f>
        <v>0</v>
      </c>
      <c r="AZ21" s="183">
        <f>3240</f>
        <v>3240</v>
      </c>
      <c r="BA21" s="183">
        <f>SUM(Z119:Z149)</f>
        <v>223</v>
      </c>
      <c r="BB21" s="184">
        <f t="shared" si="13"/>
        <v>6.8827160493827158E-2</v>
      </c>
      <c r="BC21" s="186">
        <f>SUM(AA119:AA149)</f>
        <v>1226500</v>
      </c>
      <c r="BD21" s="202">
        <f t="shared" si="1"/>
        <v>17.153846153846153</v>
      </c>
      <c r="BE21" s="189">
        <f t="shared" si="15"/>
        <v>1.9184883815735834</v>
      </c>
      <c r="BF21" s="186">
        <f>BG21*AP21</f>
        <v>2353026</v>
      </c>
      <c r="BG21" s="186">
        <v>181002</v>
      </c>
      <c r="BH21" s="201">
        <f t="shared" si="2"/>
        <v>11.428030303030303</v>
      </c>
      <c r="BI21" s="190">
        <f t="shared" si="3"/>
        <v>274.27272727272725</v>
      </c>
      <c r="BJ21" s="186">
        <f>IFERROR(26*BG21/BM21,0)</f>
        <v>15686840</v>
      </c>
      <c r="BK21" s="186">
        <f t="shared" si="4"/>
        <v>14460340</v>
      </c>
      <c r="BL21" s="184">
        <f t="shared" si="5"/>
        <v>1.6184883815735833</v>
      </c>
      <c r="BM21" s="184">
        <v>0.3</v>
      </c>
      <c r="BN21" s="190">
        <f t="shared" si="6"/>
        <v>274.27272727272725</v>
      </c>
      <c r="BO21" s="202">
        <f t="shared" si="7"/>
        <v>11.428030303030303</v>
      </c>
      <c r="BP21" s="183">
        <f>3240</f>
        <v>3240</v>
      </c>
      <c r="BQ21" s="183">
        <f t="shared" si="8"/>
        <v>3017</v>
      </c>
      <c r="BR21" s="190">
        <f t="shared" si="9"/>
        <v>125.70833333333333</v>
      </c>
      <c r="BS21" s="193">
        <v>46175</v>
      </c>
    </row>
    <row r="22" spans="1:87" ht="20.100000000000001" customHeight="1">
      <c r="S22" s="78">
        <v>46253</v>
      </c>
      <c r="T22" s="1"/>
      <c r="U22" s="82"/>
      <c r="V22" s="87"/>
      <c r="W22" s="47"/>
      <c r="X22" s="78">
        <v>46253</v>
      </c>
      <c r="Y22" s="1"/>
      <c r="Z22" s="82"/>
      <c r="AA22" s="87"/>
      <c r="AC22" s="78">
        <v>46253</v>
      </c>
      <c r="AD22" s="1"/>
      <c r="AE22" s="82"/>
      <c r="AF22" s="87"/>
      <c r="AH22" s="78">
        <v>46222</v>
      </c>
      <c r="AI22" s="1"/>
      <c r="AJ22" s="82"/>
      <c r="AK22" s="87"/>
      <c r="AM22" s="271"/>
      <c r="AN22" s="217" t="s">
        <v>119</v>
      </c>
      <c r="AO22" s="217">
        <v>24</v>
      </c>
      <c r="AP22" s="217">
        <f>COUNTIF(AD119:AD149,1)</f>
        <v>15</v>
      </c>
      <c r="AQ22" s="218">
        <f t="shared" si="14"/>
        <v>0.625</v>
      </c>
      <c r="AR22" s="217">
        <f>SUM(AE119:AE125)</f>
        <v>183</v>
      </c>
      <c r="AS22" s="217">
        <f>SUM(AE126:AE132)</f>
        <v>163</v>
      </c>
      <c r="AT22" s="217">
        <f>SUM(AE133:AE139)</f>
        <v>129</v>
      </c>
      <c r="AU22" s="217">
        <f>SUM(AE140:AE149)</f>
        <v>0</v>
      </c>
      <c r="AV22" s="216">
        <f>IFERROR(SUM(AE119:AE125)/COUNTIF(AD119:AD125,1),0)</f>
        <v>30.5</v>
      </c>
      <c r="AW22" s="216">
        <f>IFERROR(SUM(AE126:AE132)/COUNTIF(AD126:AD132,1),0)</f>
        <v>32.6</v>
      </c>
      <c r="AX22" s="216">
        <f>IFERROR(SUM(AE133:AE139)/COUNTIF(AD133:AD139,1),0)</f>
        <v>32.25</v>
      </c>
      <c r="AY22" s="217">
        <f>IFERROR(SUM(AE140:AE149)/COUNTIF(AD140:AD149,1),0)</f>
        <v>0</v>
      </c>
      <c r="AZ22" s="217">
        <f>3240</f>
        <v>3240</v>
      </c>
      <c r="BA22" s="217">
        <f>SUM(AE119:AE149)</f>
        <v>475</v>
      </c>
      <c r="BB22" s="219">
        <f t="shared" si="13"/>
        <v>0.14660493827160495</v>
      </c>
      <c r="BC22" s="220">
        <f>SUM(AF119:AF149)</f>
        <v>3063300</v>
      </c>
      <c r="BD22" s="221">
        <f t="shared" si="1"/>
        <v>31.666666666666668</v>
      </c>
      <c r="BE22" s="192">
        <f t="shared" si="15"/>
        <v>0.88630888257761242</v>
      </c>
      <c r="BF22" s="220">
        <f>BG22*AP22</f>
        <v>2715030</v>
      </c>
      <c r="BG22" s="220">
        <v>181002</v>
      </c>
      <c r="BH22" s="215">
        <f t="shared" si="2"/>
        <v>12.800925925925926</v>
      </c>
      <c r="BI22" s="216">
        <f t="shared" si="3"/>
        <v>307.22222222222223</v>
      </c>
      <c r="BJ22" s="186">
        <f>IFERROR(26*BG22/BM22,0)</f>
        <v>15686840</v>
      </c>
      <c r="BK22" s="186">
        <f t="shared" si="4"/>
        <v>12623540</v>
      </c>
      <c r="BL22" s="184">
        <f t="shared" si="5"/>
        <v>0.58630888257761238</v>
      </c>
      <c r="BM22" s="184">
        <v>0.3</v>
      </c>
      <c r="BN22" s="190">
        <f t="shared" si="6"/>
        <v>307.22222222222223</v>
      </c>
      <c r="BO22" s="202">
        <f t="shared" si="7"/>
        <v>12.800925925925926</v>
      </c>
      <c r="BP22" s="183">
        <f>3240</f>
        <v>3240</v>
      </c>
      <c r="BQ22" s="183">
        <f t="shared" si="8"/>
        <v>2765</v>
      </c>
      <c r="BR22" s="190">
        <f t="shared" si="9"/>
        <v>115.20833333333333</v>
      </c>
      <c r="BS22" s="193">
        <v>46235</v>
      </c>
    </row>
    <row r="23" spans="1:87" ht="20.100000000000001" customHeight="1">
      <c r="H23" s="243" t="s">
        <v>1</v>
      </c>
      <c r="I23" s="244"/>
      <c r="J23" s="245"/>
      <c r="K23" s="243" t="s">
        <v>2</v>
      </c>
      <c r="L23" s="244"/>
      <c r="M23" s="245"/>
      <c r="N23" s="10" t="s">
        <v>3</v>
      </c>
      <c r="S23" s="78">
        <v>46254</v>
      </c>
      <c r="T23" s="1"/>
      <c r="U23" s="82"/>
      <c r="V23" s="87"/>
      <c r="W23" s="47"/>
      <c r="X23" s="78">
        <v>46254</v>
      </c>
      <c r="Y23" s="1"/>
      <c r="Z23" s="82"/>
      <c r="AA23" s="87"/>
      <c r="AC23" s="78">
        <v>46254</v>
      </c>
      <c r="AD23" s="1"/>
      <c r="AE23" s="82"/>
      <c r="AF23" s="87"/>
      <c r="AH23" s="78">
        <v>46223</v>
      </c>
      <c r="AI23" s="1"/>
      <c r="AJ23" s="82"/>
      <c r="AK23" s="87"/>
      <c r="AM23" s="242" t="s">
        <v>435</v>
      </c>
      <c r="AN23" s="242"/>
      <c r="AO23" s="194">
        <f>SUM(AO20:AO22)</f>
        <v>72</v>
      </c>
      <c r="AP23" s="194">
        <f>SUM(AP20:AP22)</f>
        <v>44</v>
      </c>
      <c r="AQ23" s="195">
        <f t="shared" si="14"/>
        <v>0.61111111111111116</v>
      </c>
      <c r="AR23" s="194">
        <f>SUM(AR20:AR22)</f>
        <v>452</v>
      </c>
      <c r="AS23" s="194">
        <f>SUM(AS20:AS22)</f>
        <v>361</v>
      </c>
      <c r="AT23" s="194">
        <f>SUM(AT20:AT22)</f>
        <v>372</v>
      </c>
      <c r="AU23" s="194">
        <f>SUM(AU20:AU22)</f>
        <v>0</v>
      </c>
      <c r="AV23" s="199">
        <f>IFERROR(AR23/(COUNTIF(T119:T125,1)+COUNTIF(Y119:Y125,1)+COUNTIF(AD119:AD125,1)),0)</f>
        <v>26.588235294117649</v>
      </c>
      <c r="AW23" s="199">
        <f>IFERROR(AS23/(COUNTIF(T126:T132,1)+COUNTIF(Y126:Y132,1)+COUNTIF(AD126:AD132,1)),0)</f>
        <v>24.066666666666666</v>
      </c>
      <c r="AX23" s="199">
        <f>IFERROR(AT23/(COUNTIF(T133:T139,1)+COUNTIF(Y133:Y139,1)+COUNTIF(AD133:AD139,1)),0)</f>
        <v>31</v>
      </c>
      <c r="AY23" s="194">
        <f>IFERROR(AU23/(COUNTIF(T140:T149,1)+COUNTIF(Y140:Y149,1)+COUNTIF(AD140:AD149,1)),0)</f>
        <v>0</v>
      </c>
      <c r="AZ23" s="194">
        <f>SUM(AZ20:AZ22)</f>
        <v>9720</v>
      </c>
      <c r="BA23" s="194">
        <f>SUM(BA20:BA22)</f>
        <v>1185</v>
      </c>
      <c r="BB23" s="195">
        <f t="shared" si="13"/>
        <v>0.12191358024691358</v>
      </c>
      <c r="BC23" s="197">
        <f>SUM(BC20:BC22)</f>
        <v>7540800</v>
      </c>
      <c r="BD23" s="205">
        <f t="shared" si="1"/>
        <v>26.931818181818183</v>
      </c>
      <c r="BE23" s="195">
        <f t="shared" si="15"/>
        <v>1.0561330362826225</v>
      </c>
      <c r="BF23" s="197">
        <f>SUM(BF20:BF22)</f>
        <v>7964088</v>
      </c>
      <c r="BG23" s="197">
        <v>181002</v>
      </c>
      <c r="BH23" s="205">
        <f t="shared" si="2"/>
        <v>12.700892857142858</v>
      </c>
      <c r="BI23" s="199">
        <f t="shared" si="3"/>
        <v>304.82142857142856</v>
      </c>
      <c r="BJ23" s="197">
        <f>SUM(BJ20:BJ22)</f>
        <v>47060520</v>
      </c>
      <c r="BK23" s="197">
        <f t="shared" si="4"/>
        <v>39519720</v>
      </c>
      <c r="BL23" s="195">
        <f t="shared" si="5"/>
        <v>0.75613303628262241</v>
      </c>
      <c r="BM23" s="195">
        <v>0.3</v>
      </c>
      <c r="BN23" s="199">
        <f t="shared" si="6"/>
        <v>304.82142857142856</v>
      </c>
      <c r="BO23" s="205">
        <f t="shared" si="7"/>
        <v>12.700892857142856</v>
      </c>
      <c r="BP23" s="194">
        <f>SUM(BP20:BP22)</f>
        <v>9720</v>
      </c>
      <c r="BQ23" s="194">
        <f t="shared" si="8"/>
        <v>8535</v>
      </c>
      <c r="BR23" s="199">
        <f t="shared" si="9"/>
        <v>355.625</v>
      </c>
      <c r="BS23" s="200"/>
    </row>
    <row r="24" spans="1:87" ht="20.100000000000001" customHeight="1">
      <c r="A24" s="253" t="s">
        <v>8</v>
      </c>
      <c r="B24" s="233" t="s">
        <v>9</v>
      </c>
      <c r="C24" s="229" t="s">
        <v>10</v>
      </c>
      <c r="D24" s="230"/>
      <c r="E24" s="233" t="s">
        <v>11</v>
      </c>
      <c r="F24" s="223" t="s">
        <v>12</v>
      </c>
      <c r="G24" s="223" t="s">
        <v>13</v>
      </c>
      <c r="H24" s="223" t="s">
        <v>14</v>
      </c>
      <c r="I24" s="223" t="s">
        <v>15</v>
      </c>
      <c r="J24" s="223" t="s">
        <v>16</v>
      </c>
      <c r="K24" s="223" t="s">
        <v>17</v>
      </c>
      <c r="L24" s="223" t="s">
        <v>18</v>
      </c>
      <c r="M24" s="223" t="s">
        <v>19</v>
      </c>
      <c r="N24" s="223" t="s">
        <v>20</v>
      </c>
      <c r="O24" s="246" t="s">
        <v>21</v>
      </c>
      <c r="S24" s="78">
        <v>46255</v>
      </c>
      <c r="T24" s="1"/>
      <c r="U24" s="83"/>
      <c r="V24" s="88"/>
      <c r="W24" s="47"/>
      <c r="X24" s="78">
        <v>46255</v>
      </c>
      <c r="Y24" s="1"/>
      <c r="Z24" s="83"/>
      <c r="AA24" s="88"/>
      <c r="AC24" s="78">
        <v>46255</v>
      </c>
      <c r="AD24" s="1"/>
      <c r="AE24" s="83"/>
      <c r="AF24" s="88"/>
      <c r="AH24" s="78">
        <v>46224</v>
      </c>
      <c r="AI24" s="1"/>
      <c r="AJ24" s="40"/>
      <c r="AK24" s="89"/>
      <c r="AM24" s="241" t="s">
        <v>369</v>
      </c>
      <c r="AN24" s="183" t="s">
        <v>97</v>
      </c>
      <c r="AO24" s="183">
        <v>24</v>
      </c>
      <c r="AP24" s="183">
        <f>COUNTIF(AD83:AD113,1)</f>
        <v>13</v>
      </c>
      <c r="AQ24" s="184">
        <f t="shared" si="14"/>
        <v>0.54166666666666663</v>
      </c>
      <c r="AR24" s="183">
        <f>SUM(AE83:AE89)</f>
        <v>144</v>
      </c>
      <c r="AS24" s="183">
        <f>SUM(AE90:AE96)</f>
        <v>174</v>
      </c>
      <c r="AT24" s="183">
        <f>SUM(AE97:AE103)</f>
        <v>60</v>
      </c>
      <c r="AU24" s="183">
        <f>SUM(AE104:AE113)</f>
        <v>0</v>
      </c>
      <c r="AV24" s="190">
        <f>IFERROR(SUM(AE83:AE89)/COUNTIF(AD83:AD89,1),0)</f>
        <v>28.8</v>
      </c>
      <c r="AW24" s="190">
        <f>IFERROR(SUM(AE90:AE96)/COUNTIF(AD90:AD96,1),0)</f>
        <v>29</v>
      </c>
      <c r="AX24" s="190">
        <f>IFERROR(SUM(AE97:AE103)/COUNTIF(AD97:AD103,1),0)</f>
        <v>30</v>
      </c>
      <c r="AY24" s="183">
        <f>IFERROR(SUM(AE104:AE113)/COUNTIF(AD104:AD113,1),0)</f>
        <v>0</v>
      </c>
      <c r="AZ24" s="183">
        <f>3240</f>
        <v>3240</v>
      </c>
      <c r="BA24" s="183">
        <f>SUM(AE83:AE113)</f>
        <v>378</v>
      </c>
      <c r="BB24" s="184">
        <f t="shared" si="13"/>
        <v>0.11666666666666667</v>
      </c>
      <c r="BC24" s="186">
        <f>SUM(AF83:AF113)</f>
        <v>2256000</v>
      </c>
      <c r="BD24" s="202">
        <f t="shared" si="1"/>
        <v>29.076923076923077</v>
      </c>
      <c r="BE24" s="189">
        <f t="shared" si="15"/>
        <v>0.9712198581560284</v>
      </c>
      <c r="BF24" s="186">
        <f>BG24*AP24</f>
        <v>2191072</v>
      </c>
      <c r="BG24" s="186">
        <v>168544</v>
      </c>
      <c r="BH24" s="201">
        <f t="shared" si="2"/>
        <v>10.840909090909092</v>
      </c>
      <c r="BI24" s="190">
        <f t="shared" si="3"/>
        <v>260.18181818181819</v>
      </c>
      <c r="BJ24" s="186">
        <f>IFERROR(26*BG24/BM24,0)</f>
        <v>14607146.666666668</v>
      </c>
      <c r="BK24" s="186">
        <f t="shared" si="4"/>
        <v>12351146.666666668</v>
      </c>
      <c r="BL24" s="184">
        <f t="shared" si="5"/>
        <v>0.67121985815602847</v>
      </c>
      <c r="BM24" s="184">
        <v>0.3</v>
      </c>
      <c r="BN24" s="190">
        <f t="shared" si="6"/>
        <v>260.18181818181819</v>
      </c>
      <c r="BO24" s="202">
        <f t="shared" si="7"/>
        <v>10.840909090909092</v>
      </c>
      <c r="BP24" s="183">
        <f>3240</f>
        <v>3240</v>
      </c>
      <c r="BQ24" s="183">
        <f t="shared" si="8"/>
        <v>2862</v>
      </c>
      <c r="BR24" s="190">
        <f t="shared" si="9"/>
        <v>119.25</v>
      </c>
      <c r="BS24" s="193">
        <v>46157</v>
      </c>
    </row>
    <row r="25" spans="1:87" ht="20.100000000000001" customHeight="1">
      <c r="A25" s="254"/>
      <c r="B25" s="234"/>
      <c r="C25" s="231"/>
      <c r="D25" s="232"/>
      <c r="E25" s="234"/>
      <c r="F25" s="224"/>
      <c r="G25" s="224"/>
      <c r="H25" s="224"/>
      <c r="I25" s="224"/>
      <c r="J25" s="224"/>
      <c r="K25" s="224"/>
      <c r="L25" s="224"/>
      <c r="M25" s="224"/>
      <c r="N25" s="224"/>
      <c r="O25" s="247"/>
      <c r="P25" s="31"/>
      <c r="S25" s="78">
        <v>46256</v>
      </c>
      <c r="T25" s="1"/>
      <c r="U25" s="82"/>
      <c r="V25" s="87"/>
      <c r="W25" s="47"/>
      <c r="X25" s="78">
        <v>46256</v>
      </c>
      <c r="Y25" s="1"/>
      <c r="Z25" s="82"/>
      <c r="AA25" s="87"/>
      <c r="AC25" s="78">
        <v>46256</v>
      </c>
      <c r="AD25" s="1"/>
      <c r="AE25" s="82"/>
      <c r="AF25" s="87"/>
      <c r="AH25" s="78">
        <v>46225</v>
      </c>
      <c r="AI25" s="1"/>
      <c r="AJ25" s="40"/>
      <c r="AK25" s="89"/>
      <c r="AM25" s="271"/>
      <c r="AN25" s="204" t="s">
        <v>99</v>
      </c>
      <c r="AO25" s="204">
        <v>24</v>
      </c>
      <c r="AP25" s="204">
        <f>COUNTIF(AI83:AI113,1)</f>
        <v>13</v>
      </c>
      <c r="AQ25" s="206">
        <f t="shared" si="14"/>
        <v>0.54166666666666663</v>
      </c>
      <c r="AR25" s="204">
        <f>SUM(AJ83:AJ89)</f>
        <v>177</v>
      </c>
      <c r="AS25" s="204">
        <f>SUM(AJ90:AJ96)</f>
        <v>162</v>
      </c>
      <c r="AT25" s="204">
        <f>SUM(AJ97:AJ103)</f>
        <v>35</v>
      </c>
      <c r="AU25" s="204">
        <f>SUM(AJ104:AJ113)</f>
        <v>0</v>
      </c>
      <c r="AV25" s="208">
        <f>IFERROR(SUM(AJ83:AJ89)/COUNTIF(AI83:AI89,1),0)</f>
        <v>29.5</v>
      </c>
      <c r="AW25" s="208">
        <f t="shared" ref="AW25:AX25" si="16">IFERROR(SUM(AJ90:AJ96)/COUNTIF(AI90:AI96,1),0)</f>
        <v>27</v>
      </c>
      <c r="AX25" s="208">
        <f t="shared" si="16"/>
        <v>0</v>
      </c>
      <c r="AY25" s="204">
        <f>IFERROR(SUM(AJ104:AJ113)/COUNTIF(AI104:AI113,1),0)</f>
        <v>0</v>
      </c>
      <c r="AZ25" s="204">
        <f>3240</f>
        <v>3240</v>
      </c>
      <c r="BA25" s="204">
        <f>SUM(AJ83:AJ113)</f>
        <v>374</v>
      </c>
      <c r="BB25" s="191">
        <f t="shared" si="13"/>
        <v>0.1154320987654321</v>
      </c>
      <c r="BC25" s="207">
        <f>SUM(AK83:AK113)</f>
        <v>2244000</v>
      </c>
      <c r="BD25" s="201">
        <f t="shared" si="1"/>
        <v>28.76923076923077</v>
      </c>
      <c r="BE25" s="192">
        <f t="shared" si="15"/>
        <v>0.97641354723707663</v>
      </c>
      <c r="BF25" s="207">
        <f>BG25*AP25</f>
        <v>2191072</v>
      </c>
      <c r="BG25" s="207">
        <v>168544</v>
      </c>
      <c r="BH25" s="202">
        <f t="shared" si="2"/>
        <v>10.856060606060607</v>
      </c>
      <c r="BI25" s="208">
        <f t="shared" si="3"/>
        <v>260.54545454545456</v>
      </c>
      <c r="BJ25" s="186">
        <f>IFERROR(26*BG25/BM25,0)</f>
        <v>14607146.666666668</v>
      </c>
      <c r="BK25" s="186">
        <f t="shared" si="4"/>
        <v>12363146.666666668</v>
      </c>
      <c r="BL25" s="184">
        <f t="shared" si="5"/>
        <v>0.6764135472370767</v>
      </c>
      <c r="BM25" s="184">
        <v>0.3</v>
      </c>
      <c r="BN25" s="190">
        <f t="shared" si="6"/>
        <v>260.54545454545456</v>
      </c>
      <c r="BO25" s="202">
        <f t="shared" si="7"/>
        <v>10.856060606060607</v>
      </c>
      <c r="BP25" s="183">
        <f>3240</f>
        <v>3240</v>
      </c>
      <c r="BQ25" s="183">
        <f t="shared" si="8"/>
        <v>2866</v>
      </c>
      <c r="BR25" s="190">
        <f t="shared" si="9"/>
        <v>119.41666666666667</v>
      </c>
      <c r="BS25" s="193">
        <v>46188</v>
      </c>
    </row>
    <row r="26" spans="1:87" ht="20.100000000000001" customHeight="1">
      <c r="A26" s="1">
        <v>4</v>
      </c>
      <c r="B26" s="1" t="s">
        <v>51</v>
      </c>
      <c r="C26" s="238" t="s">
        <v>52</v>
      </c>
      <c r="D26" s="239"/>
      <c r="E26" s="1" t="s">
        <v>53</v>
      </c>
      <c r="F26" s="4" t="s">
        <v>54</v>
      </c>
      <c r="G26" s="1">
        <f>SUM(AI40:AI69)</f>
        <v>14</v>
      </c>
      <c r="H26" s="1">
        <f>G26*120</f>
        <v>1680</v>
      </c>
      <c r="I26" s="1">
        <f>SUM(AJ40:AJ69)</f>
        <v>672</v>
      </c>
      <c r="J26" s="5">
        <f>I26/H26</f>
        <v>0.4</v>
      </c>
      <c r="K26" s="1">
        <v>3240</v>
      </c>
      <c r="L26" s="1">
        <f>SUM(I26)</f>
        <v>672</v>
      </c>
      <c r="M26" s="5">
        <f>L26/K26</f>
        <v>0.2074074074074074</v>
      </c>
      <c r="N26" s="6">
        <f>SUM(AK40:AK70)</f>
        <v>3952800</v>
      </c>
      <c r="O26" s="1">
        <f>I26/G26</f>
        <v>48</v>
      </c>
      <c r="S26" s="78">
        <v>46257</v>
      </c>
      <c r="T26" s="4"/>
      <c r="U26" s="81"/>
      <c r="V26" s="89"/>
      <c r="W26" s="47"/>
      <c r="X26" s="78">
        <v>46257</v>
      </c>
      <c r="Y26" s="4"/>
      <c r="Z26" s="81"/>
      <c r="AA26" s="89"/>
      <c r="AC26" s="78">
        <v>46257</v>
      </c>
      <c r="AD26" s="4"/>
      <c r="AE26" s="81"/>
      <c r="AF26" s="89"/>
      <c r="AH26" s="78">
        <v>46226</v>
      </c>
      <c r="AI26" s="1"/>
      <c r="AJ26" s="40"/>
      <c r="AK26" s="89"/>
      <c r="AM26" s="242" t="s">
        <v>436</v>
      </c>
      <c r="AN26" s="242"/>
      <c r="AO26" s="194">
        <f>SUM(AO24:AO25)</f>
        <v>48</v>
      </c>
      <c r="AP26" s="194">
        <f>SUM(AP24:AP25)</f>
        <v>26</v>
      </c>
      <c r="AQ26" s="195">
        <f>IFERROR(AP26/AO26,0)</f>
        <v>0.54166666666666663</v>
      </c>
      <c r="AR26" s="194">
        <f>SUM(AR24:AR25)</f>
        <v>321</v>
      </c>
      <c r="AS26" s="194">
        <f>SUM(AS24:AS25)</f>
        <v>336</v>
      </c>
      <c r="AT26" s="194">
        <f>SUM(AT24:AT25)</f>
        <v>95</v>
      </c>
      <c r="AU26" s="194">
        <f>SUM(AU24:AU25)</f>
        <v>0</v>
      </c>
      <c r="AV26" s="199">
        <f>IFERROR(AR26/(COUNTIF(AD83:AD89,1)+COUNTIF(AI83:AI89,1)),0)</f>
        <v>29.181818181818183</v>
      </c>
      <c r="AW26" s="199">
        <f>IFERROR(AS26/(COUNTIF(AD90:AD96,1)+COUNTIF(AI90:AI96,1)),0)</f>
        <v>28</v>
      </c>
      <c r="AX26" s="199">
        <f>IFERROR(AT26/(COUNTIF(AD97:AD103,1)+COUNTIF(AI97:AI103,1)),0)</f>
        <v>31.666666666666668</v>
      </c>
      <c r="AY26" s="194">
        <f>IFERROR(AU26/(COUNTIF(AD104:AD113,1)+COUNTIF(AI104:AI113,1)),0)</f>
        <v>0</v>
      </c>
      <c r="AZ26" s="196">
        <f>SUM(AZ24:AZ25)</f>
        <v>6480</v>
      </c>
      <c r="BA26" s="196">
        <f>SUM(BA24:BA25)</f>
        <v>752</v>
      </c>
      <c r="BB26" s="195">
        <f t="shared" si="13"/>
        <v>0.11604938271604938</v>
      </c>
      <c r="BC26" s="197">
        <f>SUM(BC24:BC25)</f>
        <v>4500000</v>
      </c>
      <c r="BD26" s="205">
        <f t="shared" si="1"/>
        <v>28.923076923076923</v>
      </c>
      <c r="BE26" s="195">
        <f>IFERROR(BF26/BC26,0)</f>
        <v>0.97380977777777777</v>
      </c>
      <c r="BF26" s="197">
        <f>SUM(BF24:BF25)</f>
        <v>4382144</v>
      </c>
      <c r="BG26" s="197">
        <v>168544</v>
      </c>
      <c r="BH26" s="205">
        <f t="shared" si="2"/>
        <v>10.848484848484848</v>
      </c>
      <c r="BI26" s="199">
        <f t="shared" si="3"/>
        <v>260.36363636363637</v>
      </c>
      <c r="BJ26" s="197">
        <f>SUM(BJ24:BJ25)</f>
        <v>29214293.333333336</v>
      </c>
      <c r="BK26" s="197">
        <f t="shared" si="4"/>
        <v>24714293.333333336</v>
      </c>
      <c r="BL26" s="195">
        <f t="shared" si="5"/>
        <v>0.67380977777777784</v>
      </c>
      <c r="BM26" s="195">
        <v>0.3</v>
      </c>
      <c r="BN26" s="199">
        <f t="shared" si="6"/>
        <v>260.36363636363637</v>
      </c>
      <c r="BO26" s="205">
        <f t="shared" si="7"/>
        <v>10.84848484848485</v>
      </c>
      <c r="BP26" s="194">
        <f>SUM(BP24:BP25)</f>
        <v>6480</v>
      </c>
      <c r="BQ26" s="194">
        <f t="shared" si="8"/>
        <v>5728</v>
      </c>
      <c r="BR26" s="199">
        <f t="shared" si="9"/>
        <v>238.66666666666666</v>
      </c>
      <c r="BS26" s="200"/>
    </row>
    <row r="27" spans="1:87" ht="20.100000000000001" customHeight="1">
      <c r="A27" s="1">
        <v>4</v>
      </c>
      <c r="B27" s="1" t="s">
        <v>51</v>
      </c>
      <c r="C27" s="238" t="s">
        <v>52</v>
      </c>
      <c r="D27" s="239"/>
      <c r="E27" s="1" t="s">
        <v>55</v>
      </c>
      <c r="F27" s="4" t="s">
        <v>29</v>
      </c>
      <c r="G27" s="1">
        <f>SUM(AD40:AD69)</f>
        <v>13</v>
      </c>
      <c r="H27" s="1">
        <f>G27*120</f>
        <v>1560</v>
      </c>
      <c r="I27" s="1">
        <f>SUM(AE40:AE71)</f>
        <v>480</v>
      </c>
      <c r="J27" s="5">
        <f>I27/H27</f>
        <v>0.30769230769230771</v>
      </c>
      <c r="K27" s="1">
        <v>3240</v>
      </c>
      <c r="L27" s="1">
        <f>SUM(I27)</f>
        <v>480</v>
      </c>
      <c r="M27" s="5">
        <f>L27/K27</f>
        <v>0.14814814814814814</v>
      </c>
      <c r="N27" s="6">
        <f>SUM(AF40:AF70)</f>
        <v>2894400</v>
      </c>
      <c r="O27" s="1">
        <f>I27/G27</f>
        <v>36.92307692307692</v>
      </c>
      <c r="S27" s="78">
        <v>46258</v>
      </c>
      <c r="T27" s="4"/>
      <c r="U27" s="81"/>
      <c r="V27" s="89"/>
      <c r="W27" s="47"/>
      <c r="X27" s="78">
        <v>46258</v>
      </c>
      <c r="Y27" s="4"/>
      <c r="Z27" s="81"/>
      <c r="AA27" s="89"/>
      <c r="AC27" s="78">
        <v>46258</v>
      </c>
      <c r="AD27" s="4"/>
      <c r="AE27" s="81"/>
      <c r="AF27" s="89"/>
      <c r="AH27" s="78">
        <v>46227</v>
      </c>
      <c r="AI27" s="1"/>
      <c r="AJ27" s="40"/>
      <c r="AK27" s="89"/>
      <c r="AM27" s="272" t="s">
        <v>437</v>
      </c>
      <c r="AN27" s="273"/>
      <c r="AO27" s="194">
        <f>SUM(AO10,AO13,AO16,AO19,AO23,AO26)</f>
        <v>360</v>
      </c>
      <c r="AP27" s="194">
        <f>SUM(AP10,AP13,AP16,AP19,AP23,AP26)</f>
        <v>191</v>
      </c>
      <c r="AQ27" s="195">
        <f>IFERROR(AP27/AO27,0)</f>
        <v>0.53055555555555556</v>
      </c>
      <c r="AR27" s="194">
        <f>SUM(AR10,AR13,AR16,AR19,AR23,AR26)</f>
        <v>4621</v>
      </c>
      <c r="AS27" s="194">
        <f>SUM(AS10,AS13,AS16,AS19,AS23,AS26)</f>
        <v>4408</v>
      </c>
      <c r="AT27" s="194">
        <f>SUM(AT10,AT13,AT16,AT19,AT23,AT26)</f>
        <v>1691</v>
      </c>
      <c r="AU27" s="194">
        <f>SUM(AU10,AU13,AU16,AU19,AU23,AU26)</f>
        <v>0</v>
      </c>
      <c r="AV27" s="199">
        <f>AVERAGE(AV10,AV13,AV16,AV19,AV23,AV26)</f>
        <v>56.057991681521088</v>
      </c>
      <c r="AW27" s="199">
        <f>AVERAGE(AW10,AW13,AW16,AW19,AW23,AW26)</f>
        <v>54.141013071895422</v>
      </c>
      <c r="AX27" s="199">
        <f>AVERAGE(AX10,AX13,AX16,AX19,AX23,AX26)</f>
        <v>56.044444444444451</v>
      </c>
      <c r="AY27" s="194">
        <f>AVERAGE(AY10,AY13,AY16,AY19,AY23,AY26)</f>
        <v>0</v>
      </c>
      <c r="AZ27" s="194">
        <f>SUM(AZ10,AZ13,AZ16,AZ19,AZ23,AZ26)</f>
        <v>48600</v>
      </c>
      <c r="BA27" s="194">
        <f>SUM(BA10,BA13,BA16,BA19,BA23,BA26)</f>
        <v>10720</v>
      </c>
      <c r="BB27" s="195">
        <f t="shared" si="13"/>
        <v>0.2205761316872428</v>
      </c>
      <c r="BC27" s="197">
        <f>SUM(BC10,BC13,BC16,BC19,BC23,BC26)</f>
        <v>65084000</v>
      </c>
      <c r="BD27" s="205">
        <f t="shared" si="1"/>
        <v>56.125654450261777</v>
      </c>
      <c r="BE27" s="195">
        <f>IFERROR(BF27/BC27,0)</f>
        <v>0.50518766517116342</v>
      </c>
      <c r="BF27" s="197">
        <f>SUM(BF10,BF13,BF16,BF19,BF23,BF26)</f>
        <v>32879634</v>
      </c>
      <c r="BG27" s="197"/>
      <c r="BH27" s="205">
        <f t="shared" si="2"/>
        <v>9.339250493096646</v>
      </c>
      <c r="BI27" s="199">
        <f t="shared" si="3"/>
        <v>224.14201183431953</v>
      </c>
      <c r="BJ27" s="197">
        <f>SUM(BJ10,BJ13,BJ16,BJ19,BJ23,BJ26)</f>
        <v>233095180.74074075</v>
      </c>
      <c r="BK27" s="197">
        <f t="shared" si="4"/>
        <v>168011180.74074075</v>
      </c>
      <c r="BL27" s="195">
        <f t="shared" si="5"/>
        <v>0.21768619136533035</v>
      </c>
      <c r="BM27" s="195">
        <f>((26*BG6)+(26*BG7)+(26*BG8)+(26*BG9)+(26*BG11)+(26*BG12)+(26*BG14)+(26*BG15)+(26*BG17)+(26*BG18)+(26*BG20)+(26*BG21)+(26*BG22)+(26*BG24)+(26*BG25))/BJ27</f>
        <v>0.28750147380583307</v>
      </c>
      <c r="BN27" s="199">
        <f t="shared" si="6"/>
        <v>224.14201183431953</v>
      </c>
      <c r="BO27" s="205">
        <f t="shared" si="7"/>
        <v>9.3392504930966478</v>
      </c>
      <c r="BP27" s="194">
        <f>SUM(BP10,BP13,BP16,BP19,BP23,BP26)</f>
        <v>48600</v>
      </c>
      <c r="BQ27" s="195">
        <f t="shared" si="8"/>
        <v>37880</v>
      </c>
      <c r="BR27" s="199">
        <f t="shared" si="9"/>
        <v>1578.3333333333333</v>
      </c>
      <c r="BS27" s="200"/>
      <c r="BT27" s="32"/>
      <c r="BU27" s="32"/>
      <c r="BV27" s="32"/>
      <c r="BW27" s="32"/>
      <c r="BX27" s="32"/>
      <c r="BY27" s="32"/>
      <c r="BZ27" s="165"/>
      <c r="CA27" s="165"/>
      <c r="CB27" s="173"/>
      <c r="CC27" s="174"/>
      <c r="CD27" s="165"/>
      <c r="CE27" s="155"/>
      <c r="CF27" s="166"/>
      <c r="CG27" s="166"/>
      <c r="CH27" s="62"/>
      <c r="CI27" s="175"/>
    </row>
    <row r="28" spans="1:87">
      <c r="A28" s="235" t="s">
        <v>56</v>
      </c>
      <c r="B28" s="236"/>
      <c r="C28" s="236"/>
      <c r="D28" s="236"/>
      <c r="E28" s="236"/>
      <c r="F28" s="237"/>
      <c r="G28" s="1">
        <f>SUM(G26:G27)</f>
        <v>27</v>
      </c>
      <c r="H28" s="1">
        <f>SUM(H26:H27)</f>
        <v>3240</v>
      </c>
      <c r="I28" s="1">
        <f>SUM(I26:I27)</f>
        <v>1152</v>
      </c>
      <c r="J28" s="5">
        <f>I28/H28</f>
        <v>0.35555555555555557</v>
      </c>
      <c r="K28" s="1">
        <f>SUM(K26:K27)</f>
        <v>6480</v>
      </c>
      <c r="L28" s="1">
        <f>SUM(L26:L27)</f>
        <v>1152</v>
      </c>
      <c r="M28" s="5">
        <f>L28/K28</f>
        <v>0.17777777777777778</v>
      </c>
      <c r="N28" s="6">
        <f>SUM(N26:N27)</f>
        <v>6847200</v>
      </c>
      <c r="O28" s="45">
        <f>L28/G28</f>
        <v>42.666666666666664</v>
      </c>
      <c r="S28" s="78">
        <v>46259</v>
      </c>
      <c r="T28" s="4"/>
      <c r="U28" s="81"/>
      <c r="V28" s="89"/>
      <c r="W28" s="47"/>
      <c r="X28" s="78">
        <v>46259</v>
      </c>
      <c r="Y28" s="4"/>
      <c r="Z28" s="81"/>
      <c r="AA28" s="89"/>
      <c r="AC28" s="78">
        <v>46259</v>
      </c>
      <c r="AD28" s="4"/>
      <c r="AE28" s="81"/>
      <c r="AF28" s="89"/>
      <c r="AH28" s="78">
        <v>46228</v>
      </c>
      <c r="AI28" s="1"/>
      <c r="AJ28" s="40"/>
      <c r="AK28" s="89"/>
      <c r="AM28" s="2"/>
      <c r="AN28" s="2"/>
      <c r="AO28" s="153"/>
      <c r="AP28" s="153"/>
      <c r="AQ28" s="154"/>
      <c r="AR28" s="153"/>
      <c r="AS28" s="153"/>
      <c r="AT28" s="153"/>
      <c r="AU28" s="39"/>
      <c r="AV28" s="39"/>
      <c r="AW28" s="39"/>
      <c r="AX28" s="39"/>
      <c r="AY28" s="39"/>
      <c r="AZ28" s="39"/>
      <c r="BA28" s="39"/>
      <c r="BB28" s="155"/>
      <c r="BC28" s="156"/>
      <c r="BD28" s="39"/>
      <c r="BE28" s="155"/>
      <c r="BF28" s="157"/>
      <c r="BG28" s="157"/>
      <c r="BH28" s="158"/>
      <c r="BI28" s="2"/>
    </row>
    <row r="29" spans="1:87">
      <c r="P29" s="32"/>
      <c r="S29" s="78">
        <v>46260</v>
      </c>
      <c r="T29" s="4"/>
      <c r="U29" s="81"/>
      <c r="V29" s="89"/>
      <c r="W29" s="47"/>
      <c r="X29" s="78">
        <v>46260</v>
      </c>
      <c r="Y29" s="4"/>
      <c r="Z29" s="81"/>
      <c r="AA29" s="89"/>
      <c r="AC29" s="78">
        <v>46260</v>
      </c>
      <c r="AD29" s="4"/>
      <c r="AE29" s="81"/>
      <c r="AF29" s="89"/>
      <c r="AH29" s="78">
        <v>46229</v>
      </c>
      <c r="AI29" s="1"/>
      <c r="AJ29" s="40"/>
      <c r="AK29" s="89"/>
      <c r="AM29" s="2"/>
      <c r="AN29" s="2"/>
    </row>
    <row r="30" spans="1:87" ht="15" customHeight="1">
      <c r="H30" s="243" t="s">
        <v>1</v>
      </c>
      <c r="I30" s="244"/>
      <c r="J30" s="245"/>
      <c r="K30" s="243" t="s">
        <v>2</v>
      </c>
      <c r="L30" s="244"/>
      <c r="M30" s="245"/>
      <c r="N30" s="10" t="s">
        <v>3</v>
      </c>
      <c r="S30" s="78">
        <v>46261</v>
      </c>
      <c r="T30" s="1"/>
      <c r="U30" s="160"/>
      <c r="V30" s="161"/>
      <c r="W30" s="47"/>
      <c r="X30" s="78">
        <v>46261</v>
      </c>
      <c r="Y30" s="1"/>
      <c r="Z30" s="160"/>
      <c r="AA30" s="161"/>
      <c r="AB30" s="162"/>
      <c r="AC30" s="78">
        <v>46261</v>
      </c>
      <c r="AD30" s="1"/>
      <c r="AE30" s="160"/>
      <c r="AF30" s="161"/>
      <c r="AH30" s="78">
        <v>46230</v>
      </c>
      <c r="AI30" s="1"/>
      <c r="AJ30" s="83"/>
      <c r="AK30" s="88"/>
      <c r="AR30" s="47"/>
      <c r="AS30" s="50"/>
    </row>
    <row r="31" spans="1:87" ht="15" customHeight="1">
      <c r="A31" s="253" t="s">
        <v>8</v>
      </c>
      <c r="B31" s="233" t="s">
        <v>9</v>
      </c>
      <c r="C31" s="229" t="s">
        <v>10</v>
      </c>
      <c r="D31" s="230"/>
      <c r="E31" s="233" t="s">
        <v>11</v>
      </c>
      <c r="F31" s="223" t="s">
        <v>12</v>
      </c>
      <c r="G31" s="223" t="s">
        <v>13</v>
      </c>
      <c r="H31" s="223" t="s">
        <v>14</v>
      </c>
      <c r="I31" s="223" t="s">
        <v>15</v>
      </c>
      <c r="J31" s="223" t="s">
        <v>16</v>
      </c>
      <c r="K31" s="223" t="s">
        <v>17</v>
      </c>
      <c r="L31" s="223" t="s">
        <v>18</v>
      </c>
      <c r="M31" s="223" t="s">
        <v>19</v>
      </c>
      <c r="N31" s="223" t="s">
        <v>20</v>
      </c>
      <c r="O31" s="246" t="s">
        <v>21</v>
      </c>
      <c r="S31" s="78">
        <v>46262</v>
      </c>
      <c r="T31" s="1"/>
      <c r="U31" s="160"/>
      <c r="V31" s="161"/>
      <c r="W31" s="47"/>
      <c r="X31" s="78">
        <v>46262</v>
      </c>
      <c r="Y31" s="1"/>
      <c r="Z31" s="160"/>
      <c r="AA31" s="161"/>
      <c r="AB31" s="163"/>
      <c r="AC31" s="78">
        <v>46262</v>
      </c>
      <c r="AD31" s="1"/>
      <c r="AE31" s="160"/>
      <c r="AF31" s="161"/>
      <c r="AH31" s="78">
        <v>46231</v>
      </c>
      <c r="AI31" s="1"/>
      <c r="AJ31" s="40"/>
      <c r="AK31" s="89"/>
    </row>
    <row r="32" spans="1:87" ht="15" customHeight="1">
      <c r="A32" s="254"/>
      <c r="B32" s="234"/>
      <c r="C32" s="231"/>
      <c r="D32" s="232"/>
      <c r="E32" s="234"/>
      <c r="F32" s="224"/>
      <c r="G32" s="224"/>
      <c r="H32" s="224"/>
      <c r="I32" s="224"/>
      <c r="J32" s="224"/>
      <c r="K32" s="224"/>
      <c r="L32" s="224"/>
      <c r="M32" s="224"/>
      <c r="N32" s="224"/>
      <c r="O32" s="247"/>
      <c r="S32" s="78">
        <v>46263</v>
      </c>
      <c r="T32" s="1"/>
      <c r="U32" s="160"/>
      <c r="V32" s="161"/>
      <c r="W32" s="47"/>
      <c r="X32" s="78">
        <v>46263</v>
      </c>
      <c r="Y32" s="1"/>
      <c r="Z32" s="160"/>
      <c r="AA32" s="161"/>
      <c r="AB32" s="162"/>
      <c r="AC32" s="78">
        <v>46263</v>
      </c>
      <c r="AD32" s="1"/>
      <c r="AE32" s="160"/>
      <c r="AF32" s="161"/>
      <c r="AH32" s="78">
        <v>46232</v>
      </c>
      <c r="AI32" s="1"/>
      <c r="AJ32" s="40"/>
      <c r="AK32" s="89"/>
    </row>
    <row r="33" spans="1:46" ht="15" customHeight="1">
      <c r="A33" s="4">
        <v>4</v>
      </c>
      <c r="B33" s="4" t="s">
        <v>57</v>
      </c>
      <c r="C33" s="255" t="s">
        <v>58</v>
      </c>
      <c r="D33" s="256"/>
      <c r="E33" s="4" t="s">
        <v>59</v>
      </c>
      <c r="F33" s="4" t="s">
        <v>60</v>
      </c>
      <c r="G33" s="4">
        <f>SUM(T83:T113)</f>
        <v>14</v>
      </c>
      <c r="H33" s="9">
        <f>G33*120</f>
        <v>1680</v>
      </c>
      <c r="I33" s="1">
        <f>SUM(U83:U113)</f>
        <v>935</v>
      </c>
      <c r="J33" s="5">
        <f>I33/H33</f>
        <v>0.55654761904761907</v>
      </c>
      <c r="K33" s="1">
        <v>3240</v>
      </c>
      <c r="L33" s="9">
        <f>SUM(I33)</f>
        <v>935</v>
      </c>
      <c r="M33" s="5">
        <f>L33/K33</f>
        <v>0.28858024691358025</v>
      </c>
      <c r="N33" s="7">
        <f>SUM(V83:V112)</f>
        <v>5368000</v>
      </c>
      <c r="O33" s="1">
        <f>L33/G33</f>
        <v>66.785714285714292</v>
      </c>
      <c r="S33" s="78">
        <v>46264</v>
      </c>
      <c r="T33" s="1"/>
      <c r="U33" s="160"/>
      <c r="V33" s="161"/>
      <c r="W33" s="47"/>
      <c r="X33" s="78">
        <v>46264</v>
      </c>
      <c r="Y33" s="1"/>
      <c r="Z33" s="160"/>
      <c r="AA33" s="161"/>
      <c r="AB33" s="163"/>
      <c r="AC33" s="78">
        <v>46264</v>
      </c>
      <c r="AD33" s="1"/>
      <c r="AE33" s="160"/>
      <c r="AF33" s="161"/>
      <c r="AH33" s="78">
        <v>46233</v>
      </c>
      <c r="AI33" s="1"/>
      <c r="AJ33" s="40"/>
      <c r="AK33" s="89"/>
    </row>
    <row r="34" spans="1:46">
      <c r="A34" s="4">
        <v>4</v>
      </c>
      <c r="B34" s="4" t="s">
        <v>57</v>
      </c>
      <c r="C34" s="255" t="s">
        <v>61</v>
      </c>
      <c r="D34" s="256"/>
      <c r="E34" s="4" t="s">
        <v>62</v>
      </c>
      <c r="F34" s="4" t="s">
        <v>63</v>
      </c>
      <c r="G34" s="4">
        <f>SUM(Y83:Y113)</f>
        <v>14</v>
      </c>
      <c r="H34" s="9">
        <f>G34*120</f>
        <v>1680</v>
      </c>
      <c r="I34" s="1">
        <f>SUM(Z83:Z113)</f>
        <v>996</v>
      </c>
      <c r="J34" s="5">
        <f>I34/H34</f>
        <v>0.59285714285714286</v>
      </c>
      <c r="K34" s="1">
        <v>3240</v>
      </c>
      <c r="L34" s="9">
        <f>SUM(I34)</f>
        <v>996</v>
      </c>
      <c r="M34" s="5">
        <f>L34/K34</f>
        <v>0.30740740740740741</v>
      </c>
      <c r="N34" s="7">
        <f>SUM(AA83:AA112)</f>
        <v>5976000</v>
      </c>
      <c r="O34" s="1">
        <f>L34/G34</f>
        <v>71.142857142857139</v>
      </c>
      <c r="S34" s="78">
        <v>46265</v>
      </c>
      <c r="T34" s="1"/>
      <c r="U34" s="83"/>
      <c r="V34" s="88"/>
      <c r="W34" s="47"/>
      <c r="X34" s="78">
        <v>46265</v>
      </c>
      <c r="Y34" s="1"/>
      <c r="Z34" s="83"/>
      <c r="AA34" s="88"/>
      <c r="AC34" s="78">
        <v>46265</v>
      </c>
      <c r="AD34" s="1"/>
      <c r="AE34" s="83"/>
      <c r="AF34" s="88"/>
      <c r="AG34" s="61"/>
      <c r="AH34" s="78">
        <v>46234</v>
      </c>
      <c r="AI34" s="1"/>
      <c r="AJ34" s="40"/>
      <c r="AK34" s="89"/>
    </row>
    <row r="35" spans="1:46" ht="15" customHeight="1">
      <c r="A35" s="235" t="s">
        <v>64</v>
      </c>
      <c r="B35" s="236"/>
      <c r="C35" s="236"/>
      <c r="D35" s="236"/>
      <c r="E35" s="236"/>
      <c r="F35" s="237"/>
      <c r="G35" s="1">
        <f>SUM(G33:G34)</f>
        <v>28</v>
      </c>
      <c r="H35" s="9">
        <f>SUM(H33:H34)</f>
        <v>3360</v>
      </c>
      <c r="I35" s="9">
        <f>SUM(I33:I34)</f>
        <v>1931</v>
      </c>
      <c r="J35" s="5">
        <f>I35/H35</f>
        <v>0.57470238095238091</v>
      </c>
      <c r="K35" s="1">
        <f>SUM(K33:K34)</f>
        <v>6480</v>
      </c>
      <c r="L35" s="9">
        <f>SUM(L33:L34)</f>
        <v>1931</v>
      </c>
      <c r="M35" s="5">
        <f>L35/K35</f>
        <v>0.29799382716049383</v>
      </c>
      <c r="N35" s="7">
        <f>SUM(N33:N34)</f>
        <v>11344000</v>
      </c>
      <c r="O35" s="1">
        <f>L35/G35</f>
        <v>68.964285714285708</v>
      </c>
      <c r="P35" s="39"/>
    </row>
    <row r="36" spans="1:46">
      <c r="P36" s="39"/>
      <c r="AL36" s="61"/>
      <c r="AM36" s="32"/>
      <c r="AN36" s="47"/>
      <c r="AO36" s="50"/>
      <c r="AR36" s="47"/>
      <c r="AS36" s="50"/>
    </row>
    <row r="37" spans="1:46" ht="30">
      <c r="H37" s="243" t="s">
        <v>1</v>
      </c>
      <c r="I37" s="244"/>
      <c r="J37" s="245"/>
      <c r="K37" s="243" t="s">
        <v>2</v>
      </c>
      <c r="L37" s="244"/>
      <c r="M37" s="245"/>
      <c r="N37" s="10" t="s">
        <v>3</v>
      </c>
      <c r="P37" s="32"/>
      <c r="S37" s="258" t="s">
        <v>65</v>
      </c>
      <c r="T37" s="258"/>
      <c r="U37" s="258"/>
      <c r="V37" s="258"/>
      <c r="W37" s="258"/>
      <c r="X37" s="258"/>
      <c r="Y37" s="258"/>
      <c r="Z37" s="258"/>
      <c r="AA37" s="258"/>
      <c r="AB37" s="44"/>
      <c r="AC37" s="258" t="s">
        <v>66</v>
      </c>
      <c r="AD37" s="258"/>
      <c r="AE37" s="258"/>
      <c r="AF37" s="258"/>
      <c r="AG37" s="258"/>
      <c r="AH37" s="258"/>
      <c r="AI37" s="258"/>
      <c r="AJ37" s="258"/>
      <c r="AK37" s="258"/>
      <c r="AS37" s="143"/>
    </row>
    <row r="38" spans="1:46" ht="15" customHeight="1">
      <c r="A38" s="253" t="s">
        <v>8</v>
      </c>
      <c r="B38" s="233" t="s">
        <v>9</v>
      </c>
      <c r="C38" s="229" t="s">
        <v>10</v>
      </c>
      <c r="D38" s="230"/>
      <c r="E38" s="233" t="s">
        <v>11</v>
      </c>
      <c r="F38" s="223" t="s">
        <v>12</v>
      </c>
      <c r="G38" s="223" t="s">
        <v>13</v>
      </c>
      <c r="H38" s="223" t="s">
        <v>14</v>
      </c>
      <c r="I38" s="223" t="s">
        <v>15</v>
      </c>
      <c r="J38" s="223" t="s">
        <v>16</v>
      </c>
      <c r="K38" s="223" t="s">
        <v>17</v>
      </c>
      <c r="L38" s="223" t="s">
        <v>18</v>
      </c>
      <c r="M38" s="223" t="s">
        <v>19</v>
      </c>
      <c r="N38" s="223" t="s">
        <v>20</v>
      </c>
      <c r="O38" s="246" t="s">
        <v>21</v>
      </c>
      <c r="P38" s="32"/>
      <c r="S38" s="225" t="s">
        <v>67</v>
      </c>
      <c r="T38" s="226"/>
      <c r="U38" s="226"/>
      <c r="V38" s="226"/>
      <c r="W38" s="44"/>
      <c r="X38" s="226" t="s">
        <v>68</v>
      </c>
      <c r="Y38" s="226"/>
      <c r="Z38" s="226"/>
      <c r="AA38" s="226"/>
      <c r="AC38" s="225" t="s">
        <v>69</v>
      </c>
      <c r="AD38" s="226"/>
      <c r="AE38" s="226"/>
      <c r="AF38" s="226"/>
      <c r="AG38" s="44"/>
      <c r="AH38" s="226" t="s">
        <v>70</v>
      </c>
      <c r="AI38" s="226"/>
      <c r="AJ38" s="226"/>
      <c r="AK38" s="226"/>
    </row>
    <row r="39" spans="1:46" ht="15" customHeight="1">
      <c r="A39" s="254"/>
      <c r="B39" s="234"/>
      <c r="C39" s="231"/>
      <c r="D39" s="232"/>
      <c r="E39" s="234"/>
      <c r="F39" s="224"/>
      <c r="G39" s="224"/>
      <c r="H39" s="224"/>
      <c r="I39" s="224"/>
      <c r="J39" s="224"/>
      <c r="K39" s="224"/>
      <c r="L39" s="224"/>
      <c r="M39" s="224"/>
      <c r="N39" s="224"/>
      <c r="O39" s="247"/>
      <c r="S39" s="41" t="s">
        <v>22</v>
      </c>
      <c r="T39" s="46" t="s">
        <v>23</v>
      </c>
      <c r="U39" s="41" t="s">
        <v>24</v>
      </c>
      <c r="V39" s="41" t="s">
        <v>25</v>
      </c>
      <c r="W39" s="49"/>
      <c r="X39" s="41" t="s">
        <v>22</v>
      </c>
      <c r="Y39" s="132" t="s">
        <v>23</v>
      </c>
      <c r="Z39" s="41" t="s">
        <v>24</v>
      </c>
      <c r="AA39" s="41" t="s">
        <v>25</v>
      </c>
      <c r="AC39" s="41" t="s">
        <v>22</v>
      </c>
      <c r="AD39" s="46" t="s">
        <v>23</v>
      </c>
      <c r="AE39" s="41" t="s">
        <v>24</v>
      </c>
      <c r="AF39" s="41" t="s">
        <v>25</v>
      </c>
      <c r="AG39" s="49"/>
      <c r="AH39" s="41" t="s">
        <v>22</v>
      </c>
      <c r="AI39" s="46" t="s">
        <v>23</v>
      </c>
      <c r="AJ39" s="41" t="s">
        <v>24</v>
      </c>
      <c r="AK39" s="41" t="s">
        <v>25</v>
      </c>
      <c r="AT39" s="143"/>
    </row>
    <row r="40" spans="1:46" ht="15" customHeight="1">
      <c r="A40" s="4">
        <v>4</v>
      </c>
      <c r="B40" s="4" t="s">
        <v>71</v>
      </c>
      <c r="C40" s="255" t="s">
        <v>72</v>
      </c>
      <c r="D40" s="256"/>
      <c r="E40" s="1" t="s">
        <v>73</v>
      </c>
      <c r="F40" s="4" t="s">
        <v>74</v>
      </c>
      <c r="G40" s="4">
        <f>SUM(T40:T69)</f>
        <v>13</v>
      </c>
      <c r="H40" s="28">
        <f>G40*120</f>
        <v>1560</v>
      </c>
      <c r="I40" s="4">
        <f>SUM(U40:U70)</f>
        <v>864</v>
      </c>
      <c r="J40" s="29">
        <f>I40/H40</f>
        <v>0.55384615384615388</v>
      </c>
      <c r="K40" s="1">
        <v>3240</v>
      </c>
      <c r="L40" s="4">
        <f>SUM(I40)</f>
        <v>864</v>
      </c>
      <c r="M40" s="29">
        <f>L40/K40</f>
        <v>0.26666666666666666</v>
      </c>
      <c r="N40" s="35">
        <f>SUM(V40:V69)</f>
        <v>5616000</v>
      </c>
      <c r="O40" s="4">
        <v>93</v>
      </c>
      <c r="S40" s="78">
        <v>46235</v>
      </c>
      <c r="T40" s="1" t="s">
        <v>30</v>
      </c>
      <c r="U40" s="82"/>
      <c r="V40" s="87"/>
      <c r="W40" s="47"/>
      <c r="X40" s="78">
        <v>46235</v>
      </c>
      <c r="Y40" s="1">
        <v>1</v>
      </c>
      <c r="Z40" s="82"/>
      <c r="AA40" s="87"/>
      <c r="AC40" s="78">
        <v>46235</v>
      </c>
      <c r="AD40" s="1" t="s">
        <v>34</v>
      </c>
      <c r="AE40" s="82"/>
      <c r="AF40" s="87"/>
      <c r="AG40" s="47"/>
      <c r="AH40" s="78">
        <v>46235</v>
      </c>
      <c r="AI40" s="1" t="s">
        <v>34</v>
      </c>
      <c r="AJ40" s="82"/>
      <c r="AK40" s="87"/>
    </row>
    <row r="41" spans="1:46" ht="15" customHeight="1">
      <c r="A41" s="1">
        <v>4</v>
      </c>
      <c r="B41" s="1" t="s">
        <v>71</v>
      </c>
      <c r="C41" s="238" t="s">
        <v>75</v>
      </c>
      <c r="D41" s="239"/>
      <c r="E41" s="36" t="s">
        <v>76</v>
      </c>
      <c r="F41" s="4" t="s">
        <v>77</v>
      </c>
      <c r="G41" s="1">
        <f>SUM(Y40:Y70)</f>
        <v>14</v>
      </c>
      <c r="H41" s="28">
        <f>G41*96</f>
        <v>1344</v>
      </c>
      <c r="I41" s="1">
        <f>SUM(Z40:Z69)</f>
        <v>816</v>
      </c>
      <c r="J41" s="29">
        <f>I41/H41</f>
        <v>0.6071428571428571</v>
      </c>
      <c r="K41" s="1">
        <v>3240</v>
      </c>
      <c r="L41" s="4">
        <f>SUM(I41)</f>
        <v>816</v>
      </c>
      <c r="M41" s="29">
        <f>L41/K41</f>
        <v>0.25185185185185183</v>
      </c>
      <c r="N41" s="35">
        <f>SUM(AA40:AA69)</f>
        <v>5112000</v>
      </c>
      <c r="O41" s="4">
        <v>85</v>
      </c>
      <c r="S41" s="78">
        <v>46236</v>
      </c>
      <c r="T41" s="1" t="s">
        <v>30</v>
      </c>
      <c r="U41" s="83"/>
      <c r="V41" s="88"/>
      <c r="W41" s="47"/>
      <c r="X41" s="78">
        <v>46236</v>
      </c>
      <c r="Y41" s="1" t="s">
        <v>30</v>
      </c>
      <c r="Z41" s="83"/>
      <c r="AA41" s="88"/>
      <c r="AC41" s="78">
        <v>46236</v>
      </c>
      <c r="AD41" s="1" t="s">
        <v>30</v>
      </c>
      <c r="AE41" s="83"/>
      <c r="AF41" s="88"/>
      <c r="AG41" s="47"/>
      <c r="AH41" s="78">
        <v>46236</v>
      </c>
      <c r="AI41" s="1" t="s">
        <v>30</v>
      </c>
      <c r="AJ41" s="83"/>
      <c r="AK41" s="88"/>
    </row>
    <row r="42" spans="1:46">
      <c r="A42" s="235" t="s">
        <v>78</v>
      </c>
      <c r="B42" s="236"/>
      <c r="C42" s="236"/>
      <c r="D42" s="236"/>
      <c r="E42" s="236"/>
      <c r="F42" s="237"/>
      <c r="G42" s="1">
        <f t="shared" ref="G42:L42" si="17">SUM(G40:G41)</f>
        <v>27</v>
      </c>
      <c r="H42" s="9">
        <f>SUM(H40:H41)</f>
        <v>2904</v>
      </c>
      <c r="I42" s="1">
        <f t="shared" si="17"/>
        <v>1680</v>
      </c>
      <c r="J42" s="8">
        <f>I42/H42</f>
        <v>0.57851239669421484</v>
      </c>
      <c r="K42" s="1">
        <f t="shared" si="17"/>
        <v>6480</v>
      </c>
      <c r="L42" s="1">
        <f t="shared" si="17"/>
        <v>1680</v>
      </c>
      <c r="M42" s="8">
        <f>L42/K42</f>
        <v>0.25925925925925924</v>
      </c>
      <c r="N42" s="7">
        <f>SUM(N40:N41)</f>
        <v>10728000</v>
      </c>
      <c r="O42" s="1">
        <v>89</v>
      </c>
      <c r="S42" s="78">
        <v>46237</v>
      </c>
      <c r="T42" s="1">
        <v>1</v>
      </c>
      <c r="U42" s="36">
        <v>24</v>
      </c>
      <c r="V42" s="142">
        <v>156000</v>
      </c>
      <c r="W42" s="47"/>
      <c r="X42" s="78">
        <v>46237</v>
      </c>
      <c r="Y42" s="1">
        <v>1</v>
      </c>
      <c r="Z42" s="177">
        <v>72</v>
      </c>
      <c r="AA42" s="179">
        <v>432000</v>
      </c>
      <c r="AC42" s="78">
        <v>46237</v>
      </c>
      <c r="AD42" s="1">
        <v>1</v>
      </c>
      <c r="AE42" s="178">
        <v>24</v>
      </c>
      <c r="AF42" s="180">
        <v>156000</v>
      </c>
      <c r="AG42" s="47"/>
      <c r="AH42" s="78">
        <v>46237</v>
      </c>
      <c r="AI42" s="1">
        <v>1</v>
      </c>
      <c r="AJ42" s="178">
        <v>24</v>
      </c>
      <c r="AK42" s="180">
        <v>144000</v>
      </c>
    </row>
    <row r="43" spans="1:46" ht="15.75" customHeight="1">
      <c r="S43" s="78">
        <v>46238</v>
      </c>
      <c r="T43" s="1">
        <v>1</v>
      </c>
      <c r="U43" s="36">
        <v>24</v>
      </c>
      <c r="V43" s="142">
        <v>156000</v>
      </c>
      <c r="W43" s="47"/>
      <c r="X43" s="78">
        <v>46238</v>
      </c>
      <c r="Y43" s="1">
        <v>1</v>
      </c>
      <c r="Z43" s="178">
        <v>72</v>
      </c>
      <c r="AA43" s="180">
        <v>432000</v>
      </c>
      <c r="AC43" s="78">
        <v>46238</v>
      </c>
      <c r="AD43" s="1">
        <v>1</v>
      </c>
      <c r="AE43" s="177">
        <v>48</v>
      </c>
      <c r="AF43" s="179">
        <v>312000</v>
      </c>
      <c r="AG43" s="47"/>
      <c r="AH43" s="78">
        <v>46238</v>
      </c>
      <c r="AI43" s="1">
        <v>1</v>
      </c>
      <c r="AJ43" s="177">
        <v>48</v>
      </c>
      <c r="AK43" s="179">
        <v>288000</v>
      </c>
    </row>
    <row r="44" spans="1:46">
      <c r="A44" s="252" t="s">
        <v>41</v>
      </c>
      <c r="B44" s="252"/>
      <c r="S44" s="78">
        <v>46239</v>
      </c>
      <c r="T44" s="1">
        <v>1</v>
      </c>
      <c r="U44" s="36">
        <v>72</v>
      </c>
      <c r="V44" s="142">
        <v>468000</v>
      </c>
      <c r="W44" s="47"/>
      <c r="X44" s="78">
        <v>46239</v>
      </c>
      <c r="Y44" s="1">
        <v>1</v>
      </c>
      <c r="Z44" s="177">
        <v>48</v>
      </c>
      <c r="AA44" s="179">
        <v>288000</v>
      </c>
      <c r="AC44" s="78">
        <v>46239</v>
      </c>
      <c r="AD44" s="1">
        <v>1</v>
      </c>
      <c r="AE44" s="178">
        <v>48</v>
      </c>
      <c r="AF44" s="180">
        <v>288000</v>
      </c>
      <c r="AG44" s="47"/>
      <c r="AH44" s="78">
        <v>46239</v>
      </c>
      <c r="AI44" s="1">
        <v>1</v>
      </c>
      <c r="AJ44" s="178">
        <v>72</v>
      </c>
      <c r="AK44" s="180">
        <v>432000</v>
      </c>
    </row>
    <row r="45" spans="1:46" ht="15" customHeight="1">
      <c r="A45" s="257" t="s">
        <v>79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S45" s="78">
        <v>46240</v>
      </c>
      <c r="T45" s="1">
        <v>1</v>
      </c>
      <c r="U45" s="36">
        <v>48</v>
      </c>
      <c r="V45" s="142">
        <v>312000</v>
      </c>
      <c r="W45" s="47"/>
      <c r="X45" s="78">
        <v>46240</v>
      </c>
      <c r="Y45" s="1">
        <v>1</v>
      </c>
      <c r="Z45" s="178">
        <v>48</v>
      </c>
      <c r="AA45" s="180">
        <v>288000</v>
      </c>
      <c r="AC45" s="78">
        <v>46240</v>
      </c>
      <c r="AD45" s="1">
        <v>1</v>
      </c>
      <c r="AE45" s="177">
        <v>48</v>
      </c>
      <c r="AF45" s="179">
        <v>288000</v>
      </c>
      <c r="AG45" s="47"/>
      <c r="AH45" s="78">
        <v>46240</v>
      </c>
      <c r="AI45" s="1">
        <v>1</v>
      </c>
      <c r="AJ45" s="177">
        <v>72</v>
      </c>
      <c r="AK45" s="179">
        <v>432000</v>
      </c>
    </row>
    <row r="46" spans="1:46">
      <c r="A46" s="257" t="s">
        <v>80</v>
      </c>
      <c r="B46" s="257"/>
      <c r="C46" s="257"/>
      <c r="D46" s="257"/>
      <c r="E46" s="257"/>
      <c r="F46" s="257"/>
      <c r="S46" s="78">
        <v>46241</v>
      </c>
      <c r="T46" s="1">
        <v>1</v>
      </c>
      <c r="U46" s="36">
        <v>72</v>
      </c>
      <c r="V46" s="142">
        <v>468000</v>
      </c>
      <c r="W46" s="47"/>
      <c r="X46" s="78">
        <v>46241</v>
      </c>
      <c r="Y46" s="1">
        <v>1</v>
      </c>
      <c r="Z46" s="177">
        <v>72</v>
      </c>
      <c r="AA46" s="179">
        <v>432000</v>
      </c>
      <c r="AC46" s="78">
        <v>46241</v>
      </c>
      <c r="AD46" s="1">
        <v>1</v>
      </c>
      <c r="AE46" s="178">
        <v>24</v>
      </c>
      <c r="AF46" s="180">
        <v>144000</v>
      </c>
      <c r="AG46" s="47"/>
      <c r="AH46" s="78">
        <v>46241</v>
      </c>
      <c r="AI46" s="1">
        <v>1</v>
      </c>
      <c r="AJ46" s="178">
        <v>24</v>
      </c>
      <c r="AK46" s="180">
        <v>144000</v>
      </c>
    </row>
    <row r="47" spans="1:46" ht="15" customHeight="1">
      <c r="A47" t="s">
        <v>81</v>
      </c>
      <c r="S47" s="78">
        <v>46242</v>
      </c>
      <c r="T47" s="1">
        <v>1</v>
      </c>
      <c r="U47" s="36">
        <v>72</v>
      </c>
      <c r="V47" s="142">
        <v>468000</v>
      </c>
      <c r="W47" s="47"/>
      <c r="X47" s="78">
        <v>46242</v>
      </c>
      <c r="Y47" s="1">
        <v>1</v>
      </c>
      <c r="Z47" s="178">
        <v>72</v>
      </c>
      <c r="AA47" s="180">
        <v>432000</v>
      </c>
      <c r="AC47" s="78">
        <v>46242</v>
      </c>
      <c r="AD47" s="1">
        <v>1</v>
      </c>
      <c r="AE47" s="177">
        <v>24</v>
      </c>
      <c r="AF47" s="179">
        <v>144000</v>
      </c>
      <c r="AG47" s="47"/>
      <c r="AH47" s="78">
        <v>46242</v>
      </c>
      <c r="AI47" s="1">
        <v>1</v>
      </c>
      <c r="AJ47" s="177">
        <v>24</v>
      </c>
      <c r="AK47" s="179">
        <v>144000</v>
      </c>
    </row>
    <row r="48" spans="1:46" ht="15" customHeight="1">
      <c r="A48" s="86" t="s">
        <v>82</v>
      </c>
      <c r="S48" s="78">
        <v>46243</v>
      </c>
      <c r="T48" s="1" t="s">
        <v>30</v>
      </c>
      <c r="U48" s="83"/>
      <c r="V48" s="88"/>
      <c r="W48" s="47"/>
      <c r="X48" s="78">
        <v>46243</v>
      </c>
      <c r="Y48" s="1" t="s">
        <v>30</v>
      </c>
      <c r="Z48" s="83"/>
      <c r="AA48" s="88"/>
      <c r="AC48" s="78">
        <v>46243</v>
      </c>
      <c r="AD48" s="1" t="s">
        <v>30</v>
      </c>
      <c r="AE48" s="83"/>
      <c r="AF48" s="88"/>
      <c r="AG48" s="47"/>
      <c r="AH48" s="78">
        <v>46243</v>
      </c>
      <c r="AI48" s="1" t="s">
        <v>30</v>
      </c>
      <c r="AJ48" s="83"/>
      <c r="AK48" s="88"/>
    </row>
    <row r="49" spans="1:38">
      <c r="A49" t="s">
        <v>83</v>
      </c>
      <c r="C49" s="85"/>
      <c r="D49" s="85"/>
      <c r="E49" s="85"/>
      <c r="F49" s="85"/>
      <c r="G49" s="85"/>
      <c r="H49" s="85"/>
      <c r="I49" s="85"/>
      <c r="S49" s="78">
        <v>46244</v>
      </c>
      <c r="T49" s="1">
        <v>1</v>
      </c>
      <c r="U49" s="36">
        <v>96</v>
      </c>
      <c r="V49" s="142">
        <v>624000</v>
      </c>
      <c r="W49" s="47"/>
      <c r="X49" s="78">
        <v>46244</v>
      </c>
      <c r="Y49" s="1">
        <v>1</v>
      </c>
      <c r="Z49" s="177">
        <v>48</v>
      </c>
      <c r="AA49" s="179">
        <v>312000</v>
      </c>
      <c r="AC49" s="78">
        <v>46244</v>
      </c>
      <c r="AD49" s="1">
        <v>1</v>
      </c>
      <c r="AE49" s="178">
        <v>48</v>
      </c>
      <c r="AF49" s="180">
        <v>288000</v>
      </c>
      <c r="AG49" s="47"/>
      <c r="AH49" s="78">
        <v>46244</v>
      </c>
      <c r="AI49" s="1">
        <v>1</v>
      </c>
      <c r="AJ49" s="177">
        <v>24</v>
      </c>
      <c r="AK49" s="179">
        <v>144000</v>
      </c>
    </row>
    <row r="50" spans="1:38">
      <c r="A50" s="252" t="s">
        <v>46</v>
      </c>
      <c r="B50" s="252"/>
      <c r="M50" s="63"/>
      <c r="N50" s="63"/>
      <c r="O50" s="76"/>
      <c r="S50" s="78">
        <v>46245</v>
      </c>
      <c r="T50" s="1">
        <v>1</v>
      </c>
      <c r="U50" s="36">
        <v>48</v>
      </c>
      <c r="V50" s="142">
        <v>312000</v>
      </c>
      <c r="W50" s="47"/>
      <c r="X50" s="78">
        <v>46245</v>
      </c>
      <c r="Y50" s="1">
        <v>1</v>
      </c>
      <c r="Z50" s="178">
        <v>72</v>
      </c>
      <c r="AA50" s="180">
        <v>468000</v>
      </c>
      <c r="AC50" s="78">
        <v>46245</v>
      </c>
      <c r="AD50" s="1">
        <v>1</v>
      </c>
      <c r="AE50" s="177">
        <v>48</v>
      </c>
      <c r="AF50" s="179">
        <v>288000</v>
      </c>
      <c r="AG50" s="47"/>
      <c r="AH50" s="78">
        <v>46245</v>
      </c>
      <c r="AI50" s="1">
        <v>1</v>
      </c>
      <c r="AJ50" s="177">
        <v>48</v>
      </c>
      <c r="AK50" s="179">
        <v>288000</v>
      </c>
    </row>
    <row r="51" spans="1:38">
      <c r="A51" t="s">
        <v>84</v>
      </c>
      <c r="S51" s="78">
        <v>46246</v>
      </c>
      <c r="T51" s="1">
        <v>1</v>
      </c>
      <c r="U51" s="36">
        <v>72</v>
      </c>
      <c r="V51" s="142">
        <v>468000</v>
      </c>
      <c r="W51" s="47"/>
      <c r="X51" s="78">
        <v>46246</v>
      </c>
      <c r="Y51" s="1">
        <v>1</v>
      </c>
      <c r="Z51" s="177">
        <v>72</v>
      </c>
      <c r="AA51" s="179">
        <v>468000</v>
      </c>
      <c r="AC51" s="78">
        <v>46246</v>
      </c>
      <c r="AD51" s="1">
        <v>1</v>
      </c>
      <c r="AE51" s="178">
        <v>48</v>
      </c>
      <c r="AF51" s="180">
        <v>288000</v>
      </c>
      <c r="AG51" s="47"/>
      <c r="AH51" s="78">
        <v>46246</v>
      </c>
      <c r="AI51" s="1">
        <v>1</v>
      </c>
      <c r="AJ51" s="178">
        <v>72</v>
      </c>
      <c r="AK51" s="180">
        <v>432000</v>
      </c>
    </row>
    <row r="52" spans="1:38">
      <c r="A52" t="s">
        <v>85</v>
      </c>
      <c r="S52" s="78">
        <v>46247</v>
      </c>
      <c r="T52" s="1">
        <v>1</v>
      </c>
      <c r="U52" s="36">
        <v>96</v>
      </c>
      <c r="V52" s="142">
        <v>624000</v>
      </c>
      <c r="W52" s="47"/>
      <c r="X52" s="78">
        <v>46247</v>
      </c>
      <c r="Y52" s="1">
        <v>1</v>
      </c>
      <c r="Z52" s="178">
        <v>72</v>
      </c>
      <c r="AA52" s="180">
        <v>468000</v>
      </c>
      <c r="AC52" s="78">
        <v>46247</v>
      </c>
      <c r="AD52" s="1">
        <v>1</v>
      </c>
      <c r="AE52" s="177">
        <v>48</v>
      </c>
      <c r="AF52" s="179">
        <v>288000</v>
      </c>
      <c r="AG52" s="47"/>
      <c r="AH52" s="78">
        <v>46247</v>
      </c>
      <c r="AI52" s="1">
        <v>1</v>
      </c>
      <c r="AJ52" s="177">
        <v>72</v>
      </c>
      <c r="AK52" s="179">
        <v>410400</v>
      </c>
    </row>
    <row r="53" spans="1:38" ht="13.5" customHeight="1">
      <c r="A53" t="s">
        <v>86</v>
      </c>
      <c r="S53" s="78">
        <v>46248</v>
      </c>
      <c r="T53" s="1">
        <v>1</v>
      </c>
      <c r="U53" s="36">
        <v>72</v>
      </c>
      <c r="V53" s="142">
        <v>468000</v>
      </c>
      <c r="W53" s="47"/>
      <c r="X53" s="78">
        <v>46248</v>
      </c>
      <c r="Y53" s="1">
        <v>1</v>
      </c>
      <c r="Z53" s="177">
        <v>48</v>
      </c>
      <c r="AA53" s="179">
        <v>312000</v>
      </c>
      <c r="AC53" s="78">
        <v>46248</v>
      </c>
      <c r="AD53" s="1">
        <v>1</v>
      </c>
      <c r="AE53" s="178">
        <v>24</v>
      </c>
      <c r="AF53" s="180">
        <v>136800</v>
      </c>
      <c r="AG53" s="47"/>
      <c r="AH53" s="78">
        <v>46248</v>
      </c>
      <c r="AI53" s="1">
        <v>1</v>
      </c>
      <c r="AJ53" s="178">
        <v>24</v>
      </c>
      <c r="AK53" s="180">
        <v>136800</v>
      </c>
      <c r="AL53" s="50"/>
    </row>
    <row r="54" spans="1:38">
      <c r="A54" t="s">
        <v>87</v>
      </c>
      <c r="S54" s="78">
        <v>46249</v>
      </c>
      <c r="T54" s="1">
        <v>1</v>
      </c>
      <c r="U54" s="36">
        <v>72</v>
      </c>
      <c r="V54" s="142">
        <v>468000</v>
      </c>
      <c r="W54" s="47"/>
      <c r="X54" s="78">
        <v>46249</v>
      </c>
      <c r="Y54" s="1">
        <v>1</v>
      </c>
      <c r="Z54" s="178">
        <v>48</v>
      </c>
      <c r="AA54" s="180">
        <v>312000</v>
      </c>
      <c r="AC54" s="78">
        <v>46249</v>
      </c>
      <c r="AD54" s="1">
        <v>1</v>
      </c>
      <c r="AE54" s="177">
        <v>24</v>
      </c>
      <c r="AF54" s="179">
        <v>136800</v>
      </c>
      <c r="AG54" s="47"/>
      <c r="AH54" s="78">
        <v>46249</v>
      </c>
      <c r="AI54" s="1">
        <v>1</v>
      </c>
      <c r="AJ54" s="177">
        <v>24</v>
      </c>
      <c r="AK54" s="179">
        <v>136800</v>
      </c>
      <c r="AL54" s="50"/>
    </row>
    <row r="55" spans="1:38">
      <c r="A55" t="s">
        <v>88</v>
      </c>
      <c r="S55" s="78">
        <v>46250</v>
      </c>
      <c r="T55" s="1" t="s">
        <v>30</v>
      </c>
      <c r="U55" s="82"/>
      <c r="V55" s="87"/>
      <c r="W55" s="47"/>
      <c r="X55" s="78">
        <v>46250</v>
      </c>
      <c r="Y55" s="1" t="s">
        <v>30</v>
      </c>
      <c r="Z55" s="82"/>
      <c r="AA55" s="87"/>
      <c r="AC55" s="78">
        <v>46250</v>
      </c>
      <c r="AD55" s="1" t="s">
        <v>30</v>
      </c>
      <c r="AE55" s="82"/>
      <c r="AF55" s="87"/>
      <c r="AG55" s="47"/>
      <c r="AH55" s="78">
        <v>46250</v>
      </c>
      <c r="AI55" s="1" t="s">
        <v>30</v>
      </c>
      <c r="AJ55" s="82"/>
      <c r="AK55" s="87"/>
      <c r="AL55" s="50"/>
    </row>
    <row r="56" spans="1:38" ht="18" customHeight="1">
      <c r="S56" s="78">
        <v>46251</v>
      </c>
      <c r="T56" s="1" t="s">
        <v>50</v>
      </c>
      <c r="U56" s="83"/>
      <c r="V56" s="88"/>
      <c r="W56" s="47"/>
      <c r="X56" s="78">
        <v>46251</v>
      </c>
      <c r="Y56" s="1" t="s">
        <v>50</v>
      </c>
      <c r="Z56" s="83"/>
      <c r="AA56" s="88"/>
      <c r="AC56" s="78">
        <v>46251</v>
      </c>
      <c r="AD56" s="1" t="s">
        <v>50</v>
      </c>
      <c r="AE56" s="83"/>
      <c r="AF56" s="88"/>
      <c r="AG56" s="47"/>
      <c r="AH56" s="78">
        <v>46251</v>
      </c>
      <c r="AI56" s="1">
        <v>1</v>
      </c>
      <c r="AJ56" s="177">
        <v>72</v>
      </c>
      <c r="AK56" s="179">
        <v>410400</v>
      </c>
      <c r="AL56" s="50"/>
    </row>
    <row r="57" spans="1:38">
      <c r="S57" s="78">
        <v>46252</v>
      </c>
      <c r="T57" s="1">
        <v>1</v>
      </c>
      <c r="U57" s="36">
        <v>96</v>
      </c>
      <c r="V57" s="142">
        <v>624000</v>
      </c>
      <c r="W57" s="47"/>
      <c r="X57" s="78">
        <v>46252</v>
      </c>
      <c r="Y57" s="1">
        <v>1</v>
      </c>
      <c r="Z57" s="178">
        <v>72</v>
      </c>
      <c r="AA57" s="180">
        <v>468000</v>
      </c>
      <c r="AC57" s="78">
        <v>46252</v>
      </c>
      <c r="AD57" s="1">
        <v>1</v>
      </c>
      <c r="AE57" s="82">
        <v>24</v>
      </c>
      <c r="AF57" s="179">
        <v>136800</v>
      </c>
      <c r="AG57" s="47"/>
      <c r="AH57" s="78">
        <v>46252</v>
      </c>
      <c r="AI57" s="1">
        <v>1</v>
      </c>
      <c r="AJ57" s="177">
        <v>72</v>
      </c>
      <c r="AK57" s="179">
        <v>410400</v>
      </c>
      <c r="AL57" s="50"/>
    </row>
    <row r="58" spans="1:38">
      <c r="S58" s="78">
        <v>46253</v>
      </c>
      <c r="T58" s="1"/>
      <c r="U58" s="82"/>
      <c r="V58" s="87"/>
      <c r="W58" s="47"/>
      <c r="X58" s="78">
        <v>46253</v>
      </c>
      <c r="Y58" s="1"/>
      <c r="Z58" s="82"/>
      <c r="AA58" s="87"/>
      <c r="AC58" s="78">
        <v>46253</v>
      </c>
      <c r="AD58" s="1"/>
      <c r="AE58" s="82"/>
      <c r="AF58" s="87"/>
      <c r="AG58" s="47"/>
      <c r="AH58" s="78">
        <v>46253</v>
      </c>
      <c r="AI58" s="1"/>
      <c r="AJ58" s="82"/>
      <c r="AK58" s="87"/>
      <c r="AL58" s="50"/>
    </row>
    <row r="59" spans="1:38">
      <c r="S59" s="78">
        <v>46254</v>
      </c>
      <c r="T59" s="1"/>
      <c r="U59" s="82"/>
      <c r="V59" s="87"/>
      <c r="W59" s="47"/>
      <c r="X59" s="78">
        <v>46254</v>
      </c>
      <c r="Y59" s="1"/>
      <c r="Z59" s="82"/>
      <c r="AA59" s="87"/>
      <c r="AC59" s="78">
        <v>46254</v>
      </c>
      <c r="AD59" s="1"/>
      <c r="AE59" s="82"/>
      <c r="AF59" s="87"/>
      <c r="AG59" s="47"/>
      <c r="AH59" s="78">
        <v>46254</v>
      </c>
      <c r="AI59" s="1"/>
      <c r="AJ59" s="82"/>
      <c r="AK59" s="87"/>
      <c r="AL59" s="50"/>
    </row>
    <row r="60" spans="1:38">
      <c r="S60" s="78">
        <v>46255</v>
      </c>
      <c r="T60" s="1"/>
      <c r="U60" s="83"/>
      <c r="V60" s="88"/>
      <c r="W60" s="47"/>
      <c r="X60" s="78">
        <v>46255</v>
      </c>
      <c r="Y60" s="1"/>
      <c r="Z60" s="83"/>
      <c r="AA60" s="88"/>
      <c r="AC60" s="78">
        <v>46255</v>
      </c>
      <c r="AD60" s="1"/>
      <c r="AE60" s="83"/>
      <c r="AF60" s="88"/>
      <c r="AG60" s="47"/>
      <c r="AH60" s="78">
        <v>46255</v>
      </c>
      <c r="AI60" s="1"/>
      <c r="AJ60" s="83"/>
      <c r="AK60" s="88"/>
      <c r="AL60" s="50"/>
    </row>
    <row r="61" spans="1:38">
      <c r="S61" s="78">
        <v>46256</v>
      </c>
      <c r="T61" s="1"/>
      <c r="U61" s="82"/>
      <c r="V61" s="87"/>
      <c r="W61" s="47"/>
      <c r="X61" s="78">
        <v>46256</v>
      </c>
      <c r="Y61" s="1"/>
      <c r="Z61" s="82"/>
      <c r="AA61" s="87"/>
      <c r="AC61" s="78">
        <v>46256</v>
      </c>
      <c r="AD61" s="1"/>
      <c r="AE61" s="82"/>
      <c r="AF61" s="87"/>
      <c r="AG61" s="47"/>
      <c r="AH61" s="78">
        <v>46256</v>
      </c>
      <c r="AI61" s="1"/>
      <c r="AJ61" s="82"/>
      <c r="AK61" s="87"/>
      <c r="AL61" s="50"/>
    </row>
    <row r="62" spans="1:38">
      <c r="S62" s="78">
        <v>46257</v>
      </c>
      <c r="T62" s="4"/>
      <c r="U62" s="81"/>
      <c r="V62" s="89"/>
      <c r="W62" s="47"/>
      <c r="X62" s="78">
        <v>46257</v>
      </c>
      <c r="Y62" s="4"/>
      <c r="Z62" s="81"/>
      <c r="AA62" s="89"/>
      <c r="AC62" s="78">
        <v>46257</v>
      </c>
      <c r="AD62" s="4"/>
      <c r="AE62" s="81"/>
      <c r="AF62" s="89"/>
      <c r="AG62" s="47"/>
      <c r="AH62" s="78">
        <v>46257</v>
      </c>
      <c r="AI62" s="4"/>
      <c r="AJ62" s="81"/>
      <c r="AK62" s="89"/>
      <c r="AL62" s="50"/>
    </row>
    <row r="63" spans="1:38">
      <c r="S63" s="78">
        <v>46258</v>
      </c>
      <c r="T63" s="4"/>
      <c r="U63" s="81"/>
      <c r="V63" s="89"/>
      <c r="W63" s="47"/>
      <c r="X63" s="78">
        <v>46258</v>
      </c>
      <c r="Y63" s="4"/>
      <c r="Z63" s="81"/>
      <c r="AA63" s="89"/>
      <c r="AC63" s="78">
        <v>46258</v>
      </c>
      <c r="AD63" s="4"/>
      <c r="AE63" s="81"/>
      <c r="AF63" s="89"/>
      <c r="AG63" s="47"/>
      <c r="AH63" s="78">
        <v>46258</v>
      </c>
      <c r="AI63" s="4"/>
      <c r="AJ63" s="81"/>
      <c r="AK63" s="89"/>
      <c r="AL63" s="50"/>
    </row>
    <row r="64" spans="1:38">
      <c r="S64" s="78">
        <v>46259</v>
      </c>
      <c r="T64" s="4"/>
      <c r="U64" s="81"/>
      <c r="V64" s="89"/>
      <c r="W64" s="47"/>
      <c r="X64" s="78">
        <v>46259</v>
      </c>
      <c r="Y64" s="4"/>
      <c r="Z64" s="81"/>
      <c r="AA64" s="89"/>
      <c r="AC64" s="78">
        <v>46259</v>
      </c>
      <c r="AD64" s="4"/>
      <c r="AE64" s="81"/>
      <c r="AF64" s="89"/>
      <c r="AG64" s="47"/>
      <c r="AH64" s="78">
        <v>46259</v>
      </c>
      <c r="AI64" s="4"/>
      <c r="AJ64" s="81"/>
      <c r="AK64" s="89"/>
      <c r="AL64" s="50"/>
    </row>
    <row r="65" spans="19:58">
      <c r="S65" s="78">
        <v>46260</v>
      </c>
      <c r="T65" s="4"/>
      <c r="U65" s="81"/>
      <c r="V65" s="89"/>
      <c r="W65" s="47"/>
      <c r="X65" s="78">
        <v>46260</v>
      </c>
      <c r="Y65" s="4"/>
      <c r="Z65" s="81"/>
      <c r="AA65" s="89"/>
      <c r="AC65" s="78">
        <v>46260</v>
      </c>
      <c r="AD65" s="4"/>
      <c r="AE65" s="81"/>
      <c r="AF65" s="89"/>
      <c r="AG65" s="47"/>
      <c r="AH65" s="78">
        <v>46260</v>
      </c>
      <c r="AI65" s="4"/>
      <c r="AJ65" s="81"/>
      <c r="AK65" s="89"/>
      <c r="AL65" s="50"/>
    </row>
    <row r="66" spans="19:58">
      <c r="S66" s="78">
        <v>46261</v>
      </c>
      <c r="T66" s="1"/>
      <c r="U66" s="160"/>
      <c r="V66" s="161"/>
      <c r="W66" s="47"/>
      <c r="X66" s="78">
        <v>46261</v>
      </c>
      <c r="Y66" s="1"/>
      <c r="Z66" s="160"/>
      <c r="AA66" s="161"/>
      <c r="AC66" s="78">
        <v>46261</v>
      </c>
      <c r="AD66" s="1"/>
      <c r="AE66" s="160"/>
      <c r="AF66" s="161"/>
      <c r="AG66" s="47"/>
      <c r="AH66" s="78">
        <v>46261</v>
      </c>
      <c r="AI66" s="1"/>
      <c r="AJ66" s="160"/>
      <c r="AK66" s="161"/>
      <c r="AL66" s="50"/>
    </row>
    <row r="67" spans="19:58">
      <c r="S67" s="78">
        <v>46262</v>
      </c>
      <c r="T67" s="1"/>
      <c r="U67" s="160"/>
      <c r="V67" s="161"/>
      <c r="W67" s="47"/>
      <c r="X67" s="78">
        <v>46262</v>
      </c>
      <c r="Y67" s="1"/>
      <c r="Z67" s="160"/>
      <c r="AA67" s="161"/>
      <c r="AC67" s="78">
        <v>46262</v>
      </c>
      <c r="AD67" s="1"/>
      <c r="AE67" s="160"/>
      <c r="AF67" s="161"/>
      <c r="AG67" s="47"/>
      <c r="AH67" s="78">
        <v>46262</v>
      </c>
      <c r="AI67" s="1"/>
      <c r="AJ67" s="160"/>
      <c r="AK67" s="161"/>
      <c r="AL67" s="50"/>
    </row>
    <row r="68" spans="19:58">
      <c r="S68" s="78">
        <v>46263</v>
      </c>
      <c r="T68" s="1"/>
      <c r="U68" s="160"/>
      <c r="V68" s="161"/>
      <c r="W68" s="47"/>
      <c r="X68" s="78">
        <v>46263</v>
      </c>
      <c r="Y68" s="1"/>
      <c r="Z68" s="160"/>
      <c r="AA68" s="161"/>
      <c r="AC68" s="78">
        <v>46263</v>
      </c>
      <c r="AD68" s="1"/>
      <c r="AE68" s="160"/>
      <c r="AF68" s="161"/>
      <c r="AG68" s="47"/>
      <c r="AH68" s="78">
        <v>46263</v>
      </c>
      <c r="AI68" s="1"/>
      <c r="AJ68" s="160"/>
      <c r="AK68" s="161"/>
      <c r="AL68" s="50"/>
    </row>
    <row r="69" spans="19:58">
      <c r="S69" s="78">
        <v>46264</v>
      </c>
      <c r="T69" s="1"/>
      <c r="U69" s="160"/>
      <c r="V69" s="161"/>
      <c r="W69" s="47"/>
      <c r="X69" s="78">
        <v>46264</v>
      </c>
      <c r="Y69" s="1"/>
      <c r="Z69" s="160"/>
      <c r="AA69" s="161"/>
      <c r="AC69" s="78">
        <v>46264</v>
      </c>
      <c r="AD69" s="1"/>
      <c r="AE69" s="160"/>
      <c r="AF69" s="161"/>
      <c r="AG69" s="47"/>
      <c r="AH69" s="78">
        <v>46264</v>
      </c>
      <c r="AI69" s="1"/>
      <c r="AJ69" s="160"/>
      <c r="AK69" s="161"/>
      <c r="AL69" s="50"/>
    </row>
    <row r="70" spans="19:58">
      <c r="S70" s="78">
        <v>46265</v>
      </c>
      <c r="T70" s="1"/>
      <c r="U70" s="83"/>
      <c r="V70" s="88"/>
      <c r="W70" s="47"/>
      <c r="X70" s="78">
        <v>46265</v>
      </c>
      <c r="Y70" s="1"/>
      <c r="Z70" s="83"/>
      <c r="AA70" s="88"/>
      <c r="AB70" s="47"/>
      <c r="AC70" s="78">
        <v>46265</v>
      </c>
      <c r="AD70" s="1"/>
      <c r="AE70" s="83"/>
      <c r="AF70" s="88"/>
      <c r="AG70" s="61"/>
      <c r="AH70" s="78">
        <v>46265</v>
      </c>
      <c r="AI70" s="1"/>
      <c r="AJ70" s="83"/>
      <c r="AK70" s="88"/>
      <c r="AL70" s="50"/>
    </row>
    <row r="71" spans="19:58">
      <c r="AK71" s="141"/>
      <c r="AL71" s="50"/>
    </row>
    <row r="72" spans="19:58">
      <c r="AL72" s="50"/>
    </row>
    <row r="73" spans="19:58">
      <c r="AL73" s="50"/>
    </row>
    <row r="74" spans="19:58" ht="14.25" customHeight="1">
      <c r="AL74" s="50"/>
    </row>
    <row r="75" spans="19:58">
      <c r="AL75" s="50"/>
    </row>
    <row r="76" spans="19:58">
      <c r="AL76" s="50"/>
      <c r="BF76" s="73"/>
    </row>
    <row r="77" spans="19:58">
      <c r="AH77" s="44"/>
      <c r="AU77" s="32"/>
      <c r="AV77" s="32"/>
      <c r="AW77" s="32"/>
      <c r="AX77" s="63"/>
      <c r="AY77" s="68"/>
      <c r="AZ77" s="32"/>
      <c r="BA77" s="32"/>
      <c r="BB77" s="32"/>
      <c r="BC77" s="32"/>
      <c r="BD77" s="73"/>
      <c r="BE77" s="73"/>
      <c r="BF77" s="73"/>
    </row>
    <row r="78" spans="19:58">
      <c r="AU78" s="32"/>
      <c r="AV78" s="32"/>
      <c r="AW78" s="32"/>
      <c r="AX78" s="63"/>
      <c r="AY78" s="68"/>
      <c r="AZ78" s="32"/>
      <c r="BA78" s="32"/>
      <c r="BB78" s="32"/>
      <c r="BC78" s="32"/>
      <c r="BD78" s="73"/>
      <c r="BE78" s="73"/>
      <c r="BF78" s="73"/>
    </row>
    <row r="79" spans="19:58">
      <c r="AU79" s="32"/>
      <c r="AV79" s="32"/>
      <c r="AW79" s="32"/>
      <c r="AX79" s="63"/>
      <c r="AY79" s="68"/>
      <c r="AZ79" s="32"/>
      <c r="BA79" s="32"/>
      <c r="BB79" s="32"/>
      <c r="BC79" s="32"/>
      <c r="BD79" s="73"/>
      <c r="BE79" s="73"/>
      <c r="BF79" s="73"/>
    </row>
    <row r="80" spans="19:58">
      <c r="S80" s="262" t="s">
        <v>89</v>
      </c>
      <c r="T80" s="263"/>
      <c r="U80" s="263"/>
      <c r="V80" s="263"/>
      <c r="W80" s="263"/>
      <c r="X80" s="263"/>
      <c r="Y80" s="263"/>
      <c r="Z80" s="263"/>
      <c r="AA80" s="263"/>
      <c r="AC80" s="262" t="s">
        <v>90</v>
      </c>
      <c r="AD80" s="263"/>
      <c r="AE80" s="263"/>
      <c r="AF80" s="263"/>
      <c r="AG80" s="263"/>
      <c r="AH80" s="263"/>
      <c r="AI80" s="263"/>
      <c r="AJ80" s="263"/>
      <c r="AK80" s="263"/>
      <c r="AR80" s="2"/>
      <c r="BB80" s="32"/>
      <c r="BC80" s="32"/>
      <c r="BD80" s="73"/>
      <c r="BE80" s="73"/>
      <c r="BF80" s="73"/>
    </row>
    <row r="81" spans="1:58">
      <c r="S81" s="259" t="s">
        <v>91</v>
      </c>
      <c r="T81" s="260"/>
      <c r="U81" s="260"/>
      <c r="V81" s="261"/>
      <c r="W81" s="44"/>
      <c r="X81" s="226" t="s">
        <v>92</v>
      </c>
      <c r="Y81" s="226"/>
      <c r="Z81" s="226"/>
      <c r="AA81" s="226"/>
      <c r="AC81" s="259" t="s">
        <v>93</v>
      </c>
      <c r="AD81" s="260"/>
      <c r="AE81" s="260"/>
      <c r="AF81" s="261"/>
      <c r="AG81" s="44"/>
      <c r="AH81" s="226" t="s">
        <v>94</v>
      </c>
      <c r="AI81" s="226"/>
      <c r="AJ81" s="226"/>
      <c r="AK81" s="226"/>
      <c r="AR81" s="44"/>
      <c r="BB81" s="32"/>
      <c r="BC81" s="32"/>
      <c r="BD81" s="73"/>
      <c r="BE81" s="73"/>
      <c r="BF81" s="73"/>
    </row>
    <row r="82" spans="1:58" ht="29.25" customHeight="1">
      <c r="S82" s="41" t="s">
        <v>22</v>
      </c>
      <c r="T82" s="77" t="s">
        <v>23</v>
      </c>
      <c r="U82" s="79" t="s">
        <v>24</v>
      </c>
      <c r="V82" s="79" t="s">
        <v>25</v>
      </c>
      <c r="W82" s="49"/>
      <c r="X82" s="41" t="s">
        <v>22</v>
      </c>
      <c r="Y82" s="46" t="s">
        <v>23</v>
      </c>
      <c r="Z82" s="41" t="s">
        <v>24</v>
      </c>
      <c r="AA82" s="41" t="s">
        <v>25</v>
      </c>
      <c r="AC82" s="41" t="s">
        <v>22</v>
      </c>
      <c r="AD82" s="46" t="s">
        <v>23</v>
      </c>
      <c r="AE82" s="41" t="s">
        <v>24</v>
      </c>
      <c r="AF82" s="41" t="s">
        <v>25</v>
      </c>
      <c r="AG82" s="49"/>
      <c r="AH82" s="41" t="s">
        <v>22</v>
      </c>
      <c r="AI82" s="46" t="s">
        <v>23</v>
      </c>
      <c r="AJ82" s="41" t="s">
        <v>24</v>
      </c>
      <c r="AK82" s="41" t="s">
        <v>25</v>
      </c>
      <c r="AR82" s="49"/>
    </row>
    <row r="83" spans="1:58">
      <c r="H83" s="268" t="s">
        <v>1</v>
      </c>
      <c r="I83" s="269"/>
      <c r="J83" s="270"/>
      <c r="K83" s="268" t="s">
        <v>2</v>
      </c>
      <c r="L83" s="269"/>
      <c r="M83" s="270"/>
      <c r="N83" s="38" t="s">
        <v>3</v>
      </c>
      <c r="S83" s="78">
        <v>46235</v>
      </c>
      <c r="T83" s="1">
        <v>1</v>
      </c>
      <c r="U83" s="82">
        <v>72</v>
      </c>
      <c r="V83" s="142">
        <v>432000</v>
      </c>
      <c r="W83" s="47"/>
      <c r="X83" s="78">
        <v>46235</v>
      </c>
      <c r="Y83" s="1">
        <v>1</v>
      </c>
      <c r="Z83" s="36">
        <v>48</v>
      </c>
      <c r="AA83" s="142">
        <v>288000</v>
      </c>
      <c r="AC83" s="78">
        <v>46235</v>
      </c>
      <c r="AD83" s="1" t="s">
        <v>34</v>
      </c>
      <c r="AE83" s="82"/>
      <c r="AF83" s="87"/>
      <c r="AG83" s="47"/>
      <c r="AH83" s="78">
        <v>46235</v>
      </c>
      <c r="AI83" s="1">
        <v>1</v>
      </c>
      <c r="AJ83" s="82">
        <v>24</v>
      </c>
      <c r="AK83" s="87">
        <v>144000</v>
      </c>
      <c r="AR83" s="47"/>
    </row>
    <row r="84" spans="1:58">
      <c r="A84" s="253" t="s">
        <v>8</v>
      </c>
      <c r="B84" s="233" t="s">
        <v>9</v>
      </c>
      <c r="C84" s="229" t="s">
        <v>10</v>
      </c>
      <c r="D84" s="230"/>
      <c r="E84" s="233" t="s">
        <v>11</v>
      </c>
      <c r="F84" s="223" t="s">
        <v>12</v>
      </c>
      <c r="G84" s="223" t="s">
        <v>13</v>
      </c>
      <c r="H84" s="223" t="s">
        <v>14</v>
      </c>
      <c r="I84" s="223" t="s">
        <v>15</v>
      </c>
      <c r="J84" s="223" t="s">
        <v>16</v>
      </c>
      <c r="K84" s="223" t="s">
        <v>17</v>
      </c>
      <c r="L84" s="223" t="s">
        <v>18</v>
      </c>
      <c r="M84" s="223" t="s">
        <v>19</v>
      </c>
      <c r="N84" s="223" t="s">
        <v>20</v>
      </c>
      <c r="O84" s="246" t="s">
        <v>21</v>
      </c>
      <c r="S84" s="78">
        <v>46236</v>
      </c>
      <c r="T84" s="1">
        <v>1</v>
      </c>
      <c r="U84" s="83">
        <v>48</v>
      </c>
      <c r="V84" s="142">
        <v>288000</v>
      </c>
      <c r="W84" s="47"/>
      <c r="X84" s="78">
        <v>46236</v>
      </c>
      <c r="Y84" s="1">
        <v>1</v>
      </c>
      <c r="Z84" s="36">
        <v>72</v>
      </c>
      <c r="AA84" s="142">
        <v>432000</v>
      </c>
      <c r="AC84" s="78">
        <v>46236</v>
      </c>
      <c r="AD84" s="1" t="s">
        <v>30</v>
      </c>
      <c r="AE84" s="83"/>
      <c r="AF84" s="88"/>
      <c r="AG84" s="47"/>
      <c r="AH84" s="78">
        <v>46236</v>
      </c>
      <c r="AI84" s="1" t="s">
        <v>30</v>
      </c>
      <c r="AJ84" s="83"/>
      <c r="AK84" s="88"/>
      <c r="AR84" s="47"/>
    </row>
    <row r="85" spans="1:58">
      <c r="A85" s="254"/>
      <c r="B85" s="234"/>
      <c r="C85" s="231"/>
      <c r="D85" s="232"/>
      <c r="E85" s="234"/>
      <c r="F85" s="224"/>
      <c r="G85" s="224"/>
      <c r="H85" s="224"/>
      <c r="I85" s="224"/>
      <c r="J85" s="224"/>
      <c r="K85" s="224"/>
      <c r="L85" s="224"/>
      <c r="M85" s="224"/>
      <c r="N85" s="224"/>
      <c r="O85" s="247"/>
      <c r="S85" s="78">
        <v>46237</v>
      </c>
      <c r="T85" s="1" t="s">
        <v>30</v>
      </c>
      <c r="U85" s="83"/>
      <c r="V85" s="142"/>
      <c r="W85" s="47"/>
      <c r="X85" s="78">
        <v>46237</v>
      </c>
      <c r="Y85" s="1">
        <v>1</v>
      </c>
      <c r="Z85" s="36">
        <v>72</v>
      </c>
      <c r="AA85" s="142">
        <v>432000</v>
      </c>
      <c r="AC85" s="78">
        <v>46237</v>
      </c>
      <c r="AD85" s="1">
        <v>1</v>
      </c>
      <c r="AE85" s="36">
        <v>24</v>
      </c>
      <c r="AF85" s="142">
        <v>144000</v>
      </c>
      <c r="AG85" s="47"/>
      <c r="AH85" s="78">
        <v>46237</v>
      </c>
      <c r="AI85" s="1">
        <v>1</v>
      </c>
      <c r="AJ85" s="83">
        <v>24</v>
      </c>
      <c r="AK85" s="88">
        <v>144000</v>
      </c>
      <c r="AR85" s="47"/>
    </row>
    <row r="86" spans="1:58">
      <c r="A86" s="1">
        <v>4</v>
      </c>
      <c r="B86" s="1" t="s">
        <v>95</v>
      </c>
      <c r="C86" s="255" t="s">
        <v>96</v>
      </c>
      <c r="D86" s="256"/>
      <c r="E86" s="1" t="s">
        <v>97</v>
      </c>
      <c r="F86" s="148">
        <v>46200</v>
      </c>
      <c r="G86" s="1">
        <f>SUM(AD83:AD112)</f>
        <v>13</v>
      </c>
      <c r="H86" s="9">
        <f>G86*120</f>
        <v>1560</v>
      </c>
      <c r="I86" s="1">
        <f>SUM(AE83:AE112)</f>
        <v>378</v>
      </c>
      <c r="J86" s="5">
        <f>I86/H86</f>
        <v>0.24230769230769231</v>
      </c>
      <c r="K86" s="1">
        <v>3240</v>
      </c>
      <c r="L86" s="1">
        <f>SUM(I86)</f>
        <v>378</v>
      </c>
      <c r="M86" s="5">
        <f>L86/K86</f>
        <v>0.11666666666666667</v>
      </c>
      <c r="N86" s="35">
        <f>SUM(AF83:AF112)</f>
        <v>2256000</v>
      </c>
      <c r="O86" s="1">
        <f>I86/G86</f>
        <v>29.076923076923077</v>
      </c>
      <c r="S86" s="78">
        <v>46238</v>
      </c>
      <c r="T86" s="1">
        <v>1</v>
      </c>
      <c r="U86" s="82">
        <v>96</v>
      </c>
      <c r="V86" s="142">
        <v>576000</v>
      </c>
      <c r="W86" s="47"/>
      <c r="X86" s="78">
        <v>46238</v>
      </c>
      <c r="Y86" s="1">
        <v>1</v>
      </c>
      <c r="Z86" s="36">
        <v>50</v>
      </c>
      <c r="AA86" s="142">
        <v>300000</v>
      </c>
      <c r="AC86" s="78">
        <v>46238</v>
      </c>
      <c r="AD86" s="1">
        <v>1</v>
      </c>
      <c r="AE86" s="36">
        <v>48</v>
      </c>
      <c r="AF86" s="142">
        <v>288000</v>
      </c>
      <c r="AG86" s="47"/>
      <c r="AH86" s="78">
        <v>46238</v>
      </c>
      <c r="AI86" s="1">
        <v>1</v>
      </c>
      <c r="AJ86" s="82">
        <v>51</v>
      </c>
      <c r="AK86" s="87">
        <v>306000</v>
      </c>
      <c r="AR86" s="47"/>
    </row>
    <row r="87" spans="1:58">
      <c r="A87" s="1">
        <v>4</v>
      </c>
      <c r="B87" s="1" t="s">
        <v>95</v>
      </c>
      <c r="C87" s="255" t="s">
        <v>98</v>
      </c>
      <c r="D87" s="256"/>
      <c r="E87" s="1" t="s">
        <v>99</v>
      </c>
      <c r="F87" s="148">
        <v>46196</v>
      </c>
      <c r="G87" s="1">
        <f>SUM(AI83:AI112)</f>
        <v>13</v>
      </c>
      <c r="H87" s="9">
        <f>G87*120</f>
        <v>1560</v>
      </c>
      <c r="I87" s="1">
        <f>SUM(AJ83:AJ112)</f>
        <v>374</v>
      </c>
      <c r="J87" s="5">
        <f>I87/H87</f>
        <v>0.23974358974358975</v>
      </c>
      <c r="K87" s="1">
        <v>3240</v>
      </c>
      <c r="L87" s="1">
        <f>SUM(I87)</f>
        <v>374</v>
      </c>
      <c r="M87" s="5">
        <f>L87/K87</f>
        <v>0.1154320987654321</v>
      </c>
      <c r="N87" s="35">
        <f>SUM(AK83:AK112)</f>
        <v>2244000</v>
      </c>
      <c r="O87" s="1">
        <f>I87/G87</f>
        <v>28.76923076923077</v>
      </c>
      <c r="S87" s="78">
        <v>46239</v>
      </c>
      <c r="T87" s="1">
        <v>1</v>
      </c>
      <c r="U87" s="83">
        <v>38</v>
      </c>
      <c r="V87" s="142">
        <v>228000</v>
      </c>
      <c r="W87" s="47"/>
      <c r="X87" s="78">
        <v>46239</v>
      </c>
      <c r="Y87" s="1">
        <v>1</v>
      </c>
      <c r="Z87" s="36">
        <v>48</v>
      </c>
      <c r="AA87" s="142">
        <v>288000</v>
      </c>
      <c r="AC87" s="78">
        <v>46239</v>
      </c>
      <c r="AD87" s="1">
        <v>1</v>
      </c>
      <c r="AE87" s="36">
        <v>24</v>
      </c>
      <c r="AF87" s="142">
        <v>144000</v>
      </c>
      <c r="AG87" s="47"/>
      <c r="AH87" s="78">
        <v>46239</v>
      </c>
      <c r="AI87" s="1">
        <v>1</v>
      </c>
      <c r="AJ87" s="83">
        <v>30</v>
      </c>
      <c r="AK87" s="88">
        <v>180000</v>
      </c>
      <c r="AR87" s="47"/>
    </row>
    <row r="88" spans="1:58">
      <c r="A88" s="235" t="s">
        <v>100</v>
      </c>
      <c r="B88" s="236"/>
      <c r="C88" s="236"/>
      <c r="D88" s="236"/>
      <c r="E88" s="236"/>
      <c r="F88" s="237"/>
      <c r="G88" s="1">
        <f>SUM(G86:G87)</f>
        <v>26</v>
      </c>
      <c r="H88" s="1">
        <f>SUM(H86)</f>
        <v>1560</v>
      </c>
      <c r="I88" s="1">
        <f>SUM(I86)</f>
        <v>378</v>
      </c>
      <c r="J88" s="5">
        <f>I88/H88</f>
        <v>0.24230769230769231</v>
      </c>
      <c r="K88" s="1">
        <v>2304</v>
      </c>
      <c r="L88" s="1">
        <f>SUM(L86)</f>
        <v>378</v>
      </c>
      <c r="M88" s="5">
        <f>L88/K88</f>
        <v>0.1640625</v>
      </c>
      <c r="N88" s="7">
        <f>SUM(N86)</f>
        <v>2256000</v>
      </c>
      <c r="O88" s="1">
        <f>I88/G88</f>
        <v>14.538461538461538</v>
      </c>
      <c r="S88" s="78">
        <v>46240</v>
      </c>
      <c r="T88" s="1">
        <v>1</v>
      </c>
      <c r="U88" s="82">
        <v>48</v>
      </c>
      <c r="V88" s="142">
        <v>288000</v>
      </c>
      <c r="W88" s="47"/>
      <c r="X88" s="78">
        <v>46240</v>
      </c>
      <c r="Y88" s="1" t="s">
        <v>30</v>
      </c>
      <c r="Z88" s="36"/>
      <c r="AA88" s="142"/>
      <c r="AC88" s="78">
        <v>46240</v>
      </c>
      <c r="AD88" s="1">
        <v>1</v>
      </c>
      <c r="AE88" s="36">
        <v>24</v>
      </c>
      <c r="AF88" s="142">
        <v>144000</v>
      </c>
      <c r="AG88" s="47"/>
      <c r="AH88" s="78">
        <v>46240</v>
      </c>
      <c r="AI88" s="1">
        <v>1</v>
      </c>
      <c r="AJ88" s="82">
        <v>24</v>
      </c>
      <c r="AK88" s="87">
        <v>144000</v>
      </c>
      <c r="AR88" s="47"/>
    </row>
    <row r="89" spans="1:58">
      <c r="S89" s="78">
        <v>46241</v>
      </c>
      <c r="T89" s="1">
        <v>1</v>
      </c>
      <c r="U89" s="83">
        <v>52</v>
      </c>
      <c r="V89" s="142">
        <v>364000</v>
      </c>
      <c r="W89" s="47"/>
      <c r="X89" s="78">
        <v>46241</v>
      </c>
      <c r="Y89" s="1">
        <v>1</v>
      </c>
      <c r="Z89" s="36">
        <v>120</v>
      </c>
      <c r="AA89" s="142">
        <v>720000</v>
      </c>
      <c r="AC89" s="78">
        <v>46241</v>
      </c>
      <c r="AD89" s="1">
        <v>1</v>
      </c>
      <c r="AE89" s="36">
        <v>24</v>
      </c>
      <c r="AF89" s="142">
        <v>144000</v>
      </c>
      <c r="AG89" s="47"/>
      <c r="AH89" s="78">
        <v>46241</v>
      </c>
      <c r="AI89" s="1">
        <v>1</v>
      </c>
      <c r="AJ89" s="83">
        <v>24</v>
      </c>
      <c r="AK89" s="88">
        <v>144000</v>
      </c>
      <c r="AR89" s="47"/>
    </row>
    <row r="90" spans="1:58">
      <c r="A90" s="252" t="s">
        <v>41</v>
      </c>
      <c r="B90" s="252"/>
      <c r="S90" s="78">
        <v>46242</v>
      </c>
      <c r="T90" s="1">
        <v>1</v>
      </c>
      <c r="U90" s="82">
        <v>96</v>
      </c>
      <c r="V90" s="142">
        <v>500000</v>
      </c>
      <c r="W90" s="47"/>
      <c r="X90" s="78">
        <v>46242</v>
      </c>
      <c r="Y90" s="1">
        <v>1</v>
      </c>
      <c r="Z90" s="36">
        <v>48</v>
      </c>
      <c r="AA90" s="142">
        <v>288000</v>
      </c>
      <c r="AC90" s="78">
        <v>46242</v>
      </c>
      <c r="AD90" s="1">
        <v>1</v>
      </c>
      <c r="AE90" s="36">
        <v>48</v>
      </c>
      <c r="AF90" s="142">
        <v>288000</v>
      </c>
      <c r="AG90" s="47"/>
      <c r="AH90" s="78">
        <v>46242</v>
      </c>
      <c r="AI90" s="1">
        <v>1</v>
      </c>
      <c r="AJ90" s="82">
        <v>30</v>
      </c>
      <c r="AK90" s="87">
        <v>180000</v>
      </c>
      <c r="AR90" s="47"/>
    </row>
    <row r="91" spans="1:58" ht="15" customHeight="1">
      <c r="A91" s="257" t="s">
        <v>101</v>
      </c>
      <c r="B91" s="257"/>
      <c r="C91" s="257"/>
      <c r="D91" s="257"/>
      <c r="E91" s="257"/>
      <c r="F91" s="257"/>
      <c r="G91" s="257"/>
      <c r="H91" s="257"/>
      <c r="I91" s="257"/>
      <c r="J91" s="257"/>
      <c r="K91" s="257"/>
      <c r="S91" s="78">
        <v>46243</v>
      </c>
      <c r="T91" s="1">
        <v>1</v>
      </c>
      <c r="U91" s="83">
        <v>72</v>
      </c>
      <c r="V91" s="142">
        <v>369000</v>
      </c>
      <c r="W91" s="47"/>
      <c r="X91" s="78">
        <v>46243</v>
      </c>
      <c r="Y91" s="1">
        <v>1</v>
      </c>
      <c r="Z91" s="36">
        <v>72</v>
      </c>
      <c r="AA91" s="142">
        <v>432000</v>
      </c>
      <c r="AC91" s="78">
        <v>46243</v>
      </c>
      <c r="AD91" s="1" t="s">
        <v>30</v>
      </c>
      <c r="AE91" s="36"/>
      <c r="AF91" s="142"/>
      <c r="AG91" s="47"/>
      <c r="AH91" s="78">
        <v>46243</v>
      </c>
      <c r="AI91" s="1" t="s">
        <v>30</v>
      </c>
      <c r="AJ91" s="83"/>
      <c r="AK91" s="88"/>
      <c r="AR91" s="47"/>
    </row>
    <row r="92" spans="1:58">
      <c r="A92" s="257" t="s">
        <v>102</v>
      </c>
      <c r="B92" s="257"/>
      <c r="C92" s="257"/>
      <c r="D92" s="257"/>
      <c r="E92" s="257"/>
      <c r="F92" s="257"/>
      <c r="S92" s="78">
        <v>46244</v>
      </c>
      <c r="T92" s="1" t="s">
        <v>30</v>
      </c>
      <c r="U92" s="83"/>
      <c r="V92" s="142"/>
      <c r="W92" s="47"/>
      <c r="X92" s="78">
        <v>46244</v>
      </c>
      <c r="Y92" s="1">
        <v>1</v>
      </c>
      <c r="Z92" s="36">
        <v>96</v>
      </c>
      <c r="AA92" s="142">
        <v>576000</v>
      </c>
      <c r="AC92" s="78">
        <v>46244</v>
      </c>
      <c r="AD92" s="1">
        <v>1</v>
      </c>
      <c r="AE92" s="36">
        <v>24</v>
      </c>
      <c r="AF92" s="142">
        <v>144000</v>
      </c>
      <c r="AG92" s="47"/>
      <c r="AH92" s="78">
        <v>46244</v>
      </c>
      <c r="AI92" s="1">
        <v>1</v>
      </c>
      <c r="AJ92" s="82">
        <v>24</v>
      </c>
      <c r="AK92" s="87">
        <v>144000</v>
      </c>
      <c r="AR92" s="47"/>
    </row>
    <row r="93" spans="1:58">
      <c r="A93" t="s">
        <v>103</v>
      </c>
      <c r="S93" s="78">
        <v>46245</v>
      </c>
      <c r="T93" s="1">
        <v>1</v>
      </c>
      <c r="U93" s="82">
        <v>96</v>
      </c>
      <c r="V93" s="142">
        <v>500000</v>
      </c>
      <c r="W93" s="47"/>
      <c r="X93" s="78">
        <v>46245</v>
      </c>
      <c r="Y93" s="1">
        <v>1</v>
      </c>
      <c r="Z93" s="36">
        <v>120</v>
      </c>
      <c r="AA93" s="142">
        <v>720000</v>
      </c>
      <c r="AC93" s="78">
        <v>46245</v>
      </c>
      <c r="AD93" s="1">
        <v>1</v>
      </c>
      <c r="AE93" s="36">
        <v>30</v>
      </c>
      <c r="AF93" s="142">
        <v>180000</v>
      </c>
      <c r="AG93" s="47"/>
      <c r="AH93" s="78">
        <v>46245</v>
      </c>
      <c r="AI93" s="1">
        <v>1</v>
      </c>
      <c r="AJ93" s="83">
        <v>30</v>
      </c>
      <c r="AK93" s="88">
        <v>180000</v>
      </c>
      <c r="AR93" s="47"/>
    </row>
    <row r="94" spans="1:58">
      <c r="S94" s="78">
        <v>46246</v>
      </c>
      <c r="T94" s="1">
        <v>1</v>
      </c>
      <c r="U94" s="83">
        <v>39</v>
      </c>
      <c r="V94" s="142">
        <v>273000</v>
      </c>
      <c r="W94" s="47"/>
      <c r="X94" s="78">
        <v>46246</v>
      </c>
      <c r="Y94" s="1">
        <v>1</v>
      </c>
      <c r="Z94" s="36">
        <v>58</v>
      </c>
      <c r="AA94" s="142">
        <v>348000</v>
      </c>
      <c r="AC94" s="78">
        <v>46246</v>
      </c>
      <c r="AD94" s="1">
        <v>1</v>
      </c>
      <c r="AE94" s="36">
        <v>24</v>
      </c>
      <c r="AF94" s="142">
        <v>132000</v>
      </c>
      <c r="AG94" s="47"/>
      <c r="AH94" s="78">
        <v>46246</v>
      </c>
      <c r="AI94" s="1">
        <v>1</v>
      </c>
      <c r="AJ94" s="83">
        <v>30</v>
      </c>
      <c r="AK94" s="88">
        <v>180000</v>
      </c>
      <c r="AR94" s="47"/>
    </row>
    <row r="95" spans="1:58">
      <c r="A95" s="252" t="s">
        <v>46</v>
      </c>
      <c r="B95" s="252"/>
      <c r="C95" s="85"/>
      <c r="D95" s="85"/>
      <c r="E95" s="85"/>
      <c r="F95" s="85"/>
      <c r="G95" s="85"/>
      <c r="H95" s="85"/>
      <c r="I95" s="85"/>
      <c r="S95" s="78">
        <v>46247</v>
      </c>
      <c r="T95" s="1">
        <v>1</v>
      </c>
      <c r="U95" s="82">
        <v>48</v>
      </c>
      <c r="V95" s="142">
        <v>246000</v>
      </c>
      <c r="W95" s="47"/>
      <c r="X95" s="78">
        <v>46247</v>
      </c>
      <c r="Y95" s="1" t="s">
        <v>30</v>
      </c>
      <c r="Z95" s="83"/>
      <c r="AA95" s="88"/>
      <c r="AC95" s="78">
        <v>46247</v>
      </c>
      <c r="AD95" s="1">
        <v>1</v>
      </c>
      <c r="AE95" s="36">
        <v>24</v>
      </c>
      <c r="AF95" s="88">
        <v>144000</v>
      </c>
      <c r="AG95" s="47"/>
      <c r="AH95" s="78">
        <v>46247</v>
      </c>
      <c r="AI95" s="1">
        <v>1</v>
      </c>
      <c r="AJ95" s="83">
        <v>24</v>
      </c>
      <c r="AK95" s="88">
        <v>144000</v>
      </c>
      <c r="AR95" s="47"/>
    </row>
    <row r="96" spans="1:58">
      <c r="A96" t="s">
        <v>104</v>
      </c>
      <c r="S96" s="78">
        <v>46248</v>
      </c>
      <c r="T96" s="1">
        <v>1</v>
      </c>
      <c r="U96" s="83">
        <v>62</v>
      </c>
      <c r="V96" s="88">
        <v>372000</v>
      </c>
      <c r="W96" s="47"/>
      <c r="X96" s="78">
        <v>46248</v>
      </c>
      <c r="Y96" s="1">
        <v>1</v>
      </c>
      <c r="Z96" s="36">
        <v>72</v>
      </c>
      <c r="AA96" s="142">
        <v>432000</v>
      </c>
      <c r="AC96" s="78">
        <v>46248</v>
      </c>
      <c r="AD96" s="1">
        <v>1</v>
      </c>
      <c r="AE96" s="83">
        <v>24</v>
      </c>
      <c r="AF96" s="88">
        <v>144000</v>
      </c>
      <c r="AG96" s="47"/>
      <c r="AH96" s="78">
        <v>46248</v>
      </c>
      <c r="AI96" s="1">
        <v>1</v>
      </c>
      <c r="AJ96" s="83">
        <v>24</v>
      </c>
      <c r="AK96" s="88">
        <v>144000</v>
      </c>
      <c r="AR96" s="47"/>
    </row>
    <row r="97" spans="1:44">
      <c r="A97" t="s">
        <v>105</v>
      </c>
      <c r="S97" s="78">
        <v>46249</v>
      </c>
      <c r="T97" s="1">
        <v>1</v>
      </c>
      <c r="U97" s="82">
        <v>96</v>
      </c>
      <c r="V97" s="142">
        <v>500000</v>
      </c>
      <c r="W97" s="47"/>
      <c r="X97" s="78">
        <v>46249</v>
      </c>
      <c r="Y97" s="1">
        <v>1</v>
      </c>
      <c r="Z97" s="36">
        <v>120</v>
      </c>
      <c r="AA97" s="142">
        <v>720000</v>
      </c>
      <c r="AC97" s="78">
        <v>46249</v>
      </c>
      <c r="AD97" s="1">
        <v>1</v>
      </c>
      <c r="AE97" s="83">
        <v>36</v>
      </c>
      <c r="AF97" s="88">
        <v>216000</v>
      </c>
      <c r="AG97" s="47"/>
      <c r="AH97" s="78">
        <v>46249</v>
      </c>
      <c r="AI97" s="1">
        <v>1</v>
      </c>
      <c r="AJ97" s="83">
        <v>35</v>
      </c>
      <c r="AK97" s="88">
        <v>210000</v>
      </c>
      <c r="AR97" s="47"/>
    </row>
    <row r="98" spans="1:44">
      <c r="A98" t="s">
        <v>106</v>
      </c>
      <c r="S98" s="78">
        <v>46250</v>
      </c>
      <c r="T98" s="1">
        <v>1</v>
      </c>
      <c r="U98" s="82">
        <v>72</v>
      </c>
      <c r="V98" s="142">
        <v>432000</v>
      </c>
      <c r="W98" s="47"/>
      <c r="X98" s="78">
        <v>46250</v>
      </c>
      <c r="Y98" s="1">
        <v>1</v>
      </c>
      <c r="Z98" s="82"/>
      <c r="AA98" s="87"/>
      <c r="AC98" s="78">
        <v>46250</v>
      </c>
      <c r="AD98" s="1" t="s">
        <v>30</v>
      </c>
      <c r="AE98" s="82"/>
      <c r="AF98" s="87"/>
      <c r="AG98" s="47"/>
      <c r="AH98" s="78">
        <v>46250</v>
      </c>
      <c r="AI98" s="1" t="s">
        <v>30</v>
      </c>
      <c r="AJ98" s="82"/>
      <c r="AK98" s="87"/>
      <c r="AR98" s="47"/>
    </row>
    <row r="99" spans="1:44">
      <c r="A99" t="s">
        <v>107</v>
      </c>
      <c r="S99" s="78">
        <v>46251</v>
      </c>
      <c r="T99" s="1" t="s">
        <v>50</v>
      </c>
      <c r="U99" s="83"/>
      <c r="V99" s="88"/>
      <c r="W99" s="47"/>
      <c r="X99" s="78">
        <v>46251</v>
      </c>
      <c r="Y99" s="1" t="s">
        <v>50</v>
      </c>
      <c r="Z99" s="83"/>
      <c r="AA99" s="88"/>
      <c r="AC99" s="78">
        <v>46251</v>
      </c>
      <c r="AD99" s="1" t="s">
        <v>50</v>
      </c>
      <c r="AE99" s="83"/>
      <c r="AF99" s="88"/>
      <c r="AG99" s="47"/>
      <c r="AH99" s="78">
        <v>46251</v>
      </c>
      <c r="AI99" s="1" t="s">
        <v>50</v>
      </c>
      <c r="AJ99" s="83"/>
      <c r="AK99" s="88"/>
      <c r="AR99" s="47"/>
    </row>
    <row r="100" spans="1:44">
      <c r="S100" s="78">
        <v>46252</v>
      </c>
      <c r="T100" s="1"/>
      <c r="U100" s="82"/>
      <c r="V100" s="87"/>
      <c r="W100" s="47"/>
      <c r="X100" s="78">
        <v>46252</v>
      </c>
      <c r="Y100" s="1"/>
      <c r="Z100" s="82"/>
      <c r="AA100" s="87"/>
      <c r="AC100" s="78">
        <v>46252</v>
      </c>
      <c r="AD100" s="1">
        <v>1</v>
      </c>
      <c r="AE100" s="83">
        <v>24</v>
      </c>
      <c r="AF100" s="88">
        <v>144000</v>
      </c>
      <c r="AG100" s="47"/>
      <c r="AH100" s="78">
        <v>46252</v>
      </c>
      <c r="AI100" s="222" t="s">
        <v>30</v>
      </c>
      <c r="AJ100" s="82"/>
      <c r="AK100" s="87"/>
      <c r="AR100" s="47"/>
    </row>
    <row r="101" spans="1:44">
      <c r="S101" s="78">
        <v>46253</v>
      </c>
      <c r="T101" s="1"/>
      <c r="U101" s="82"/>
      <c r="V101" s="87"/>
      <c r="W101" s="47"/>
      <c r="X101" s="78">
        <v>46253</v>
      </c>
      <c r="Y101" s="1"/>
      <c r="Z101" s="82"/>
      <c r="AA101" s="87"/>
      <c r="AC101" s="78">
        <v>46253</v>
      </c>
      <c r="AD101" s="1"/>
      <c r="AE101" s="82"/>
      <c r="AF101" s="87"/>
      <c r="AG101" s="47"/>
      <c r="AH101" s="78">
        <v>46253</v>
      </c>
      <c r="AI101" s="1"/>
      <c r="AJ101" s="82"/>
      <c r="AK101" s="87"/>
      <c r="AQ101" s="50"/>
      <c r="AR101" s="47"/>
    </row>
    <row r="102" spans="1:44">
      <c r="S102" s="78">
        <v>46254</v>
      </c>
      <c r="T102" s="1"/>
      <c r="U102" s="82"/>
      <c r="V102" s="87"/>
      <c r="W102" s="47"/>
      <c r="X102" s="78">
        <v>46254</v>
      </c>
      <c r="Y102" s="1"/>
      <c r="Z102" s="82"/>
      <c r="AA102" s="87"/>
      <c r="AC102" s="78">
        <v>46254</v>
      </c>
      <c r="AD102" s="1"/>
      <c r="AE102" s="82"/>
      <c r="AF102" s="87"/>
      <c r="AG102" s="47"/>
      <c r="AH102" s="78">
        <v>46254</v>
      </c>
      <c r="AI102" s="1"/>
      <c r="AJ102" s="82"/>
      <c r="AK102" s="87"/>
      <c r="AQ102" s="50"/>
      <c r="AR102" s="47"/>
    </row>
    <row r="103" spans="1:44">
      <c r="S103" s="78">
        <v>46255</v>
      </c>
      <c r="T103" s="1"/>
      <c r="U103" s="83"/>
      <c r="V103" s="88"/>
      <c r="W103" s="47"/>
      <c r="X103" s="78">
        <v>46255</v>
      </c>
      <c r="Y103" s="1"/>
      <c r="Z103" s="83"/>
      <c r="AA103" s="88"/>
      <c r="AC103" s="78">
        <v>46255</v>
      </c>
      <c r="AD103" s="1"/>
      <c r="AE103" s="83"/>
      <c r="AF103" s="88"/>
      <c r="AG103" s="47"/>
      <c r="AH103" s="78">
        <v>46255</v>
      </c>
      <c r="AI103" s="1"/>
      <c r="AJ103" s="83"/>
      <c r="AK103" s="88"/>
      <c r="AQ103" s="50"/>
      <c r="AR103" s="47"/>
    </row>
    <row r="104" spans="1:44">
      <c r="S104" s="78">
        <v>46256</v>
      </c>
      <c r="T104" s="1"/>
      <c r="U104" s="82"/>
      <c r="V104" s="87"/>
      <c r="W104" s="47"/>
      <c r="X104" s="78">
        <v>46256</v>
      </c>
      <c r="Y104" s="1"/>
      <c r="Z104" s="82"/>
      <c r="AA104" s="87"/>
      <c r="AC104" s="78">
        <v>46256</v>
      </c>
      <c r="AD104" s="1"/>
      <c r="AE104" s="82"/>
      <c r="AF104" s="87"/>
      <c r="AG104" s="47"/>
      <c r="AH104" s="78">
        <v>46256</v>
      </c>
      <c r="AI104" s="1"/>
      <c r="AJ104" s="82"/>
      <c r="AK104" s="87"/>
      <c r="AQ104" s="50"/>
      <c r="AR104" s="47"/>
    </row>
    <row r="105" spans="1:44">
      <c r="S105" s="78">
        <v>46257</v>
      </c>
      <c r="T105" s="4"/>
      <c r="U105" s="81"/>
      <c r="V105" s="89"/>
      <c r="W105" s="47"/>
      <c r="X105" s="78">
        <v>46257</v>
      </c>
      <c r="Y105" s="4"/>
      <c r="Z105" s="81"/>
      <c r="AA105" s="89"/>
      <c r="AC105" s="78">
        <v>46257</v>
      </c>
      <c r="AD105" s="4"/>
      <c r="AE105" s="81"/>
      <c r="AF105" s="89"/>
      <c r="AG105" s="47"/>
      <c r="AH105" s="78">
        <v>46257</v>
      </c>
      <c r="AI105" s="4"/>
      <c r="AJ105" s="81"/>
      <c r="AK105" s="89"/>
      <c r="AQ105" s="50"/>
      <c r="AR105" s="47"/>
    </row>
    <row r="106" spans="1:44">
      <c r="S106" s="78">
        <v>46258</v>
      </c>
      <c r="T106" s="4"/>
      <c r="U106" s="81"/>
      <c r="V106" s="89"/>
      <c r="W106" s="47"/>
      <c r="X106" s="78">
        <v>46258</v>
      </c>
      <c r="Y106" s="4"/>
      <c r="Z106" s="81"/>
      <c r="AA106" s="89"/>
      <c r="AC106" s="78">
        <v>46258</v>
      </c>
      <c r="AD106" s="4"/>
      <c r="AE106" s="81"/>
      <c r="AF106" s="89"/>
      <c r="AG106" s="47"/>
      <c r="AH106" s="78">
        <v>46258</v>
      </c>
      <c r="AI106" s="4"/>
      <c r="AJ106" s="81"/>
      <c r="AK106" s="89"/>
      <c r="AQ106" s="50"/>
      <c r="AR106" s="47"/>
    </row>
    <row r="107" spans="1:44">
      <c r="S107" s="78">
        <v>46259</v>
      </c>
      <c r="T107" s="4"/>
      <c r="U107" s="81"/>
      <c r="V107" s="89"/>
      <c r="W107" s="47"/>
      <c r="X107" s="78">
        <v>46259</v>
      </c>
      <c r="Y107" s="4"/>
      <c r="Z107" s="81"/>
      <c r="AA107" s="89"/>
      <c r="AC107" s="78">
        <v>46259</v>
      </c>
      <c r="AD107" s="4"/>
      <c r="AE107" s="81"/>
      <c r="AF107" s="89"/>
      <c r="AG107" s="47"/>
      <c r="AH107" s="78">
        <v>46259</v>
      </c>
      <c r="AI107" s="4"/>
      <c r="AJ107" s="81"/>
      <c r="AK107" s="89"/>
      <c r="AQ107" s="50"/>
      <c r="AR107" s="47"/>
    </row>
    <row r="108" spans="1:44">
      <c r="S108" s="78">
        <v>46260</v>
      </c>
      <c r="T108" s="4"/>
      <c r="U108" s="81"/>
      <c r="V108" s="89"/>
      <c r="W108" s="47"/>
      <c r="X108" s="78">
        <v>46260</v>
      </c>
      <c r="Y108" s="4"/>
      <c r="Z108" s="81"/>
      <c r="AA108" s="89"/>
      <c r="AC108" s="78">
        <v>46260</v>
      </c>
      <c r="AD108" s="4"/>
      <c r="AE108" s="81"/>
      <c r="AF108" s="89"/>
      <c r="AG108" s="47"/>
      <c r="AH108" s="78">
        <v>46260</v>
      </c>
      <c r="AI108" s="4"/>
      <c r="AJ108" s="81"/>
      <c r="AK108" s="89"/>
      <c r="AQ108" s="50"/>
      <c r="AR108" s="47"/>
    </row>
    <row r="109" spans="1:44">
      <c r="S109" s="78">
        <v>46261</v>
      </c>
      <c r="T109" s="1"/>
      <c r="U109" s="160"/>
      <c r="V109" s="161"/>
      <c r="W109" s="47"/>
      <c r="X109" s="78">
        <v>46261</v>
      </c>
      <c r="Y109" s="1"/>
      <c r="Z109" s="160"/>
      <c r="AA109" s="161"/>
      <c r="AC109" s="78">
        <v>46261</v>
      </c>
      <c r="AD109" s="1"/>
      <c r="AE109" s="160"/>
      <c r="AF109" s="161"/>
      <c r="AG109" s="47"/>
      <c r="AH109" s="78">
        <v>46261</v>
      </c>
      <c r="AI109" s="1"/>
      <c r="AJ109" s="160"/>
      <c r="AK109" s="161"/>
      <c r="AQ109" s="50"/>
      <c r="AR109" s="47"/>
    </row>
    <row r="110" spans="1:44">
      <c r="S110" s="78">
        <v>46262</v>
      </c>
      <c r="T110" s="1"/>
      <c r="U110" s="160"/>
      <c r="V110" s="161"/>
      <c r="W110" s="47"/>
      <c r="X110" s="78">
        <v>46262</v>
      </c>
      <c r="Y110" s="1"/>
      <c r="Z110" s="160"/>
      <c r="AA110" s="161"/>
      <c r="AC110" s="78">
        <v>46262</v>
      </c>
      <c r="AD110" s="1"/>
      <c r="AE110" s="160"/>
      <c r="AF110" s="161"/>
      <c r="AG110" s="47"/>
      <c r="AH110" s="78">
        <v>46262</v>
      </c>
      <c r="AI110" s="1"/>
      <c r="AJ110" s="160"/>
      <c r="AK110" s="161"/>
      <c r="AQ110" s="50"/>
      <c r="AR110" s="47"/>
    </row>
    <row r="111" spans="1:44">
      <c r="S111" s="78">
        <v>46263</v>
      </c>
      <c r="T111" s="1"/>
      <c r="U111" s="160"/>
      <c r="V111" s="161"/>
      <c r="W111" s="47"/>
      <c r="X111" s="78">
        <v>46263</v>
      </c>
      <c r="Y111" s="1"/>
      <c r="Z111" s="160"/>
      <c r="AA111" s="161"/>
      <c r="AC111" s="78">
        <v>46263</v>
      </c>
      <c r="AD111" s="1"/>
      <c r="AE111" s="160"/>
      <c r="AF111" s="161"/>
      <c r="AG111" s="47"/>
      <c r="AH111" s="78">
        <v>46263</v>
      </c>
      <c r="AI111" s="1"/>
      <c r="AJ111" s="160"/>
      <c r="AK111" s="161"/>
      <c r="AQ111" s="50"/>
      <c r="AR111" s="47"/>
    </row>
    <row r="112" spans="1:44">
      <c r="S112" s="78">
        <v>46264</v>
      </c>
      <c r="T112" s="1"/>
      <c r="U112" s="160"/>
      <c r="V112" s="161"/>
      <c r="W112" s="47"/>
      <c r="X112" s="78">
        <v>46264</v>
      </c>
      <c r="Y112" s="1"/>
      <c r="Z112" s="160"/>
      <c r="AA112" s="161"/>
      <c r="AC112" s="78">
        <v>46264</v>
      </c>
      <c r="AD112" s="1"/>
      <c r="AE112" s="160"/>
      <c r="AF112" s="161"/>
      <c r="AG112" s="47"/>
      <c r="AH112" s="78">
        <v>46264</v>
      </c>
      <c r="AI112" s="1"/>
      <c r="AJ112" s="160"/>
      <c r="AK112" s="161"/>
      <c r="AQ112" s="50"/>
      <c r="AR112" s="47"/>
    </row>
    <row r="113" spans="1:45">
      <c r="S113" s="78">
        <v>46265</v>
      </c>
      <c r="T113" s="1"/>
      <c r="U113" s="83"/>
      <c r="V113" s="88"/>
      <c r="W113" s="47"/>
      <c r="X113" s="78">
        <v>46265</v>
      </c>
      <c r="Y113" s="1"/>
      <c r="Z113" s="83"/>
      <c r="AA113" s="88"/>
      <c r="AB113" s="47"/>
      <c r="AC113" s="78">
        <v>46265</v>
      </c>
      <c r="AD113" s="1"/>
      <c r="AE113" s="83"/>
      <c r="AF113" s="88"/>
      <c r="AG113" s="61"/>
      <c r="AH113" s="78">
        <v>46265</v>
      </c>
      <c r="AI113" s="1"/>
      <c r="AJ113" s="83"/>
      <c r="AK113" s="88"/>
      <c r="AL113" s="50"/>
      <c r="AN113" s="61"/>
      <c r="AO113" s="32"/>
      <c r="AP113" s="47"/>
      <c r="AQ113" s="50"/>
      <c r="AR113" s="47"/>
      <c r="AS113" s="50"/>
    </row>
    <row r="116" spans="1:45">
      <c r="S116" s="274" t="s">
        <v>108</v>
      </c>
      <c r="T116" s="275"/>
      <c r="U116" s="275"/>
      <c r="V116" s="275"/>
      <c r="W116" s="275"/>
      <c r="X116" s="275"/>
      <c r="Y116" s="275"/>
      <c r="Z116" s="275"/>
      <c r="AA116" s="275"/>
      <c r="AB116" s="275"/>
      <c r="AC116" s="275"/>
      <c r="AD116" s="275"/>
      <c r="AE116" s="275"/>
      <c r="AF116" s="276"/>
    </row>
    <row r="117" spans="1:45">
      <c r="S117" s="226" t="s">
        <v>109</v>
      </c>
      <c r="T117" s="226"/>
      <c r="U117" s="226"/>
      <c r="V117" s="226"/>
      <c r="W117" s="44"/>
      <c r="X117" s="226" t="s">
        <v>110</v>
      </c>
      <c r="Y117" s="226"/>
      <c r="Z117" s="226"/>
      <c r="AA117" s="226"/>
      <c r="AC117" s="226" t="s">
        <v>111</v>
      </c>
      <c r="AD117" s="226"/>
      <c r="AE117" s="226"/>
      <c r="AF117" s="226"/>
      <c r="AH117" s="44"/>
      <c r="AI117" s="44"/>
      <c r="AJ117" s="44"/>
      <c r="AK117" s="44"/>
    </row>
    <row r="118" spans="1:45" ht="30">
      <c r="S118" s="41" t="s">
        <v>22</v>
      </c>
      <c r="T118" s="46" t="s">
        <v>23</v>
      </c>
      <c r="U118" s="41" t="s">
        <v>24</v>
      </c>
      <c r="V118" s="60" t="s">
        <v>25</v>
      </c>
      <c r="W118" s="49"/>
      <c r="X118" s="41" t="s">
        <v>22</v>
      </c>
      <c r="Y118" s="46" t="s">
        <v>23</v>
      </c>
      <c r="Z118" s="41" t="s">
        <v>24</v>
      </c>
      <c r="AA118" s="60" t="s">
        <v>25</v>
      </c>
      <c r="AC118" s="41" t="s">
        <v>22</v>
      </c>
      <c r="AD118" s="46" t="s">
        <v>23</v>
      </c>
      <c r="AE118" s="41" t="s">
        <v>24</v>
      </c>
      <c r="AF118" s="41" t="s">
        <v>25</v>
      </c>
      <c r="AH118" s="49"/>
      <c r="AI118" s="138"/>
      <c r="AJ118" s="49"/>
      <c r="AK118" s="49"/>
    </row>
    <row r="119" spans="1:45">
      <c r="H119" s="268" t="s">
        <v>1</v>
      </c>
      <c r="I119" s="269"/>
      <c r="J119" s="270"/>
      <c r="K119" s="268" t="s">
        <v>2</v>
      </c>
      <c r="L119" s="269"/>
      <c r="M119" s="270"/>
      <c r="N119" s="38" t="s">
        <v>3</v>
      </c>
      <c r="S119" s="78">
        <v>46235</v>
      </c>
      <c r="T119" s="1">
        <v>1</v>
      </c>
      <c r="U119" s="178">
        <v>39</v>
      </c>
      <c r="V119" s="180">
        <v>234000</v>
      </c>
      <c r="W119" s="47"/>
      <c r="X119" s="78">
        <v>46235</v>
      </c>
      <c r="Y119" s="1">
        <v>1</v>
      </c>
      <c r="Z119" s="82">
        <v>9</v>
      </c>
      <c r="AA119" s="87">
        <v>49500</v>
      </c>
      <c r="AC119" s="78">
        <v>46204</v>
      </c>
      <c r="AD119" s="1">
        <v>1</v>
      </c>
      <c r="AE119" s="1">
        <v>26</v>
      </c>
      <c r="AF119" s="89">
        <v>143000</v>
      </c>
      <c r="AH119" s="61"/>
      <c r="AI119" s="32"/>
      <c r="AJ119" s="32"/>
      <c r="AK119" s="176"/>
    </row>
    <row r="120" spans="1:45">
      <c r="A120" s="266" t="s">
        <v>8</v>
      </c>
      <c r="B120" s="258" t="s">
        <v>9</v>
      </c>
      <c r="C120" s="258" t="s">
        <v>10</v>
      </c>
      <c r="D120" s="258"/>
      <c r="E120" s="258" t="s">
        <v>11</v>
      </c>
      <c r="F120" s="228" t="s">
        <v>12</v>
      </c>
      <c r="G120" s="228" t="s">
        <v>13</v>
      </c>
      <c r="H120" s="228" t="s">
        <v>14</v>
      </c>
      <c r="I120" s="228" t="s">
        <v>15</v>
      </c>
      <c r="J120" s="228" t="s">
        <v>16</v>
      </c>
      <c r="K120" s="228" t="s">
        <v>17</v>
      </c>
      <c r="L120" s="228" t="s">
        <v>18</v>
      </c>
      <c r="M120" s="228" t="s">
        <v>19</v>
      </c>
      <c r="N120" s="228" t="s">
        <v>20</v>
      </c>
      <c r="O120" s="267" t="s">
        <v>21</v>
      </c>
      <c r="S120" s="78">
        <v>46236</v>
      </c>
      <c r="T120" s="1">
        <v>1</v>
      </c>
      <c r="U120" s="177">
        <v>26</v>
      </c>
      <c r="V120" s="179">
        <v>156000</v>
      </c>
      <c r="W120" s="47"/>
      <c r="X120" s="78">
        <v>46236</v>
      </c>
      <c r="Y120" s="1" t="s">
        <v>30</v>
      </c>
      <c r="Z120" s="83"/>
      <c r="AA120" s="88"/>
      <c r="AC120" s="78">
        <v>46205</v>
      </c>
      <c r="AD120" s="1" t="s">
        <v>30</v>
      </c>
      <c r="AE120" s="1"/>
      <c r="AF120" s="89"/>
      <c r="AH120" s="61"/>
      <c r="AI120" s="32"/>
      <c r="AJ120" s="32"/>
      <c r="AK120" s="176"/>
    </row>
    <row r="121" spans="1:45">
      <c r="A121" s="266"/>
      <c r="B121" s="258"/>
      <c r="C121" s="258"/>
      <c r="D121" s="258"/>
      <c r="E121" s="258"/>
      <c r="F121" s="228"/>
      <c r="G121" s="228"/>
      <c r="H121" s="228"/>
      <c r="I121" s="228"/>
      <c r="J121" s="228"/>
      <c r="K121" s="228"/>
      <c r="L121" s="228"/>
      <c r="M121" s="228"/>
      <c r="N121" s="228"/>
      <c r="O121" s="267"/>
      <c r="S121" s="78">
        <v>46237</v>
      </c>
      <c r="T121" s="1">
        <v>1</v>
      </c>
      <c r="U121" s="178">
        <v>26</v>
      </c>
      <c r="V121" s="180">
        <v>156000</v>
      </c>
      <c r="W121" s="47"/>
      <c r="X121" s="78">
        <v>46237</v>
      </c>
      <c r="Y121" s="1">
        <v>1</v>
      </c>
      <c r="Z121" s="177">
        <v>21</v>
      </c>
      <c r="AA121" s="179">
        <v>115500</v>
      </c>
      <c r="AC121" s="78">
        <v>46206</v>
      </c>
      <c r="AD121" s="1">
        <v>1</v>
      </c>
      <c r="AE121" s="178">
        <v>36</v>
      </c>
      <c r="AF121" s="180">
        <v>216000</v>
      </c>
      <c r="AH121" s="61"/>
      <c r="AI121" s="32"/>
      <c r="AJ121" s="32"/>
      <c r="AK121" s="176"/>
    </row>
    <row r="122" spans="1:45">
      <c r="A122" s="1">
        <v>8</v>
      </c>
      <c r="B122" s="1" t="s">
        <v>112</v>
      </c>
      <c r="C122" s="227" t="s">
        <v>113</v>
      </c>
      <c r="D122" s="227"/>
      <c r="E122" s="1" t="s">
        <v>114</v>
      </c>
      <c r="F122" s="1" t="s">
        <v>115</v>
      </c>
      <c r="G122" s="1">
        <f>SUM(T119:T149)</f>
        <v>16</v>
      </c>
      <c r="H122" s="9">
        <f>G122*120</f>
        <v>1920</v>
      </c>
      <c r="I122" s="1">
        <f>SUM(U119:U149)</f>
        <v>487</v>
      </c>
      <c r="J122" s="5">
        <f>I122/H122</f>
        <v>0.25364583333333335</v>
      </c>
      <c r="K122" s="1">
        <v>3240</v>
      </c>
      <c r="L122" s="1">
        <f>SUM(I122)</f>
        <v>487</v>
      </c>
      <c r="M122" s="5">
        <f>L122/K122</f>
        <v>0.15030864197530863</v>
      </c>
      <c r="N122" s="35">
        <f>SUM(V119:V149)</f>
        <v>3251000</v>
      </c>
      <c r="O122" s="159">
        <f>I122/G122</f>
        <v>30.4375</v>
      </c>
      <c r="S122" s="78">
        <v>46238</v>
      </c>
      <c r="T122" s="1">
        <v>1</v>
      </c>
      <c r="U122" s="177">
        <v>36</v>
      </c>
      <c r="V122" s="179">
        <v>252000</v>
      </c>
      <c r="W122" s="47"/>
      <c r="X122" s="78">
        <v>46238</v>
      </c>
      <c r="Y122" s="1">
        <v>1</v>
      </c>
      <c r="Z122" s="178">
        <v>16</v>
      </c>
      <c r="AA122" s="180">
        <v>88000</v>
      </c>
      <c r="AC122" s="78">
        <v>46207</v>
      </c>
      <c r="AD122" s="1">
        <v>1</v>
      </c>
      <c r="AE122" s="177">
        <v>24</v>
      </c>
      <c r="AF122" s="179">
        <v>168000</v>
      </c>
      <c r="AH122" s="61"/>
      <c r="AI122" s="32"/>
      <c r="AJ122" s="47"/>
      <c r="AK122" s="176"/>
    </row>
    <row r="123" spans="1:45" ht="15" customHeight="1">
      <c r="A123" s="1">
        <v>8</v>
      </c>
      <c r="B123" s="1" t="s">
        <v>112</v>
      </c>
      <c r="C123" s="227" t="s">
        <v>116</v>
      </c>
      <c r="D123" s="227"/>
      <c r="E123" s="1" t="s">
        <v>117</v>
      </c>
      <c r="F123" s="1" t="s">
        <v>118</v>
      </c>
      <c r="G123" s="1">
        <f>SUM(Y119:Y149)</f>
        <v>13</v>
      </c>
      <c r="H123" s="9">
        <f>G123*120</f>
        <v>1560</v>
      </c>
      <c r="I123" s="1">
        <f>SUM(Z119:Z149)</f>
        <v>223</v>
      </c>
      <c r="J123" s="5">
        <f>I123/H123</f>
        <v>0.14294871794871794</v>
      </c>
      <c r="K123" s="1">
        <v>3240</v>
      </c>
      <c r="L123" s="1">
        <f>SUM(I123)</f>
        <v>223</v>
      </c>
      <c r="M123" s="5">
        <f>L123/K123</f>
        <v>6.8827160493827158E-2</v>
      </c>
      <c r="N123" s="35">
        <f>SUM(AA119:AA149)</f>
        <v>1226500</v>
      </c>
      <c r="O123" s="159">
        <f>I123/G123</f>
        <v>17.153846153846153</v>
      </c>
      <c r="S123" s="78">
        <v>46239</v>
      </c>
      <c r="T123" s="1">
        <v>1</v>
      </c>
      <c r="U123" s="178">
        <v>38</v>
      </c>
      <c r="V123" s="180">
        <v>266000</v>
      </c>
      <c r="W123" s="47"/>
      <c r="X123" s="78">
        <v>46239</v>
      </c>
      <c r="Y123" s="1">
        <v>1</v>
      </c>
      <c r="Z123" s="177">
        <v>12</v>
      </c>
      <c r="AA123" s="179">
        <v>66000</v>
      </c>
      <c r="AC123" s="78">
        <v>46208</v>
      </c>
      <c r="AD123" s="1">
        <v>1</v>
      </c>
      <c r="AE123" s="178">
        <v>20</v>
      </c>
      <c r="AF123" s="180">
        <v>140000</v>
      </c>
      <c r="AH123" s="61"/>
      <c r="AI123" s="32"/>
      <c r="AJ123" s="47"/>
      <c r="AK123" s="176"/>
    </row>
    <row r="124" spans="1:45">
      <c r="A124" s="1">
        <v>8</v>
      </c>
      <c r="B124" s="1" t="s">
        <v>112</v>
      </c>
      <c r="C124" s="227" t="s">
        <v>453</v>
      </c>
      <c r="D124" s="227"/>
      <c r="E124" s="1" t="s">
        <v>119</v>
      </c>
      <c r="F124" s="1" t="s">
        <v>120</v>
      </c>
      <c r="G124" s="1">
        <f>SUM(AD119:AD149)</f>
        <v>15</v>
      </c>
      <c r="H124" s="9">
        <f>G124*120</f>
        <v>1800</v>
      </c>
      <c r="I124" s="1">
        <f>SUM(AE119:AE149)</f>
        <v>475</v>
      </c>
      <c r="J124" s="5">
        <f>I124/H124</f>
        <v>0.2638888888888889</v>
      </c>
      <c r="K124" s="1">
        <v>3240</v>
      </c>
      <c r="L124" s="1">
        <f>SUM(I124)</f>
        <v>475</v>
      </c>
      <c r="M124" s="5">
        <f>L124/K124</f>
        <v>0.14660493827160495</v>
      </c>
      <c r="N124" s="35">
        <f>SUM(AF119:AF149)</f>
        <v>3063300</v>
      </c>
      <c r="O124" s="159">
        <f>I124/G124</f>
        <v>31.666666666666668</v>
      </c>
      <c r="S124" s="78">
        <v>46240</v>
      </c>
      <c r="T124" s="1" t="s">
        <v>30</v>
      </c>
      <c r="U124" s="83"/>
      <c r="V124" s="88"/>
      <c r="W124" s="47"/>
      <c r="X124" s="78">
        <v>46240</v>
      </c>
      <c r="Y124" s="1">
        <v>1</v>
      </c>
      <c r="Z124" s="178">
        <v>7</v>
      </c>
      <c r="AA124" s="180">
        <v>38500</v>
      </c>
      <c r="AC124" s="78">
        <v>46209</v>
      </c>
      <c r="AD124" s="1">
        <v>1</v>
      </c>
      <c r="AE124" s="177">
        <v>37</v>
      </c>
      <c r="AF124" s="179">
        <v>259000</v>
      </c>
      <c r="AH124" s="61"/>
      <c r="AI124" s="32"/>
      <c r="AJ124" s="47"/>
      <c r="AK124" s="2"/>
      <c r="AL124" s="2"/>
      <c r="AM124" s="2"/>
      <c r="AN124" s="2"/>
      <c r="AO124" s="2"/>
    </row>
    <row r="125" spans="1:45">
      <c r="A125" s="235" t="s">
        <v>121</v>
      </c>
      <c r="B125" s="236"/>
      <c r="C125" s="236"/>
      <c r="D125" s="236"/>
      <c r="E125" s="236"/>
      <c r="F125" s="237"/>
      <c r="G125" s="1">
        <f>SUM(G122:G123)</f>
        <v>29</v>
      </c>
      <c r="H125" s="9">
        <f>SUM(H123:H123)</f>
        <v>1560</v>
      </c>
      <c r="I125" s="1">
        <f>SUM(I123:I123)</f>
        <v>223</v>
      </c>
      <c r="J125" s="5">
        <f>I125/H125</f>
        <v>0.14294871794871794</v>
      </c>
      <c r="K125" s="1">
        <v>2304</v>
      </c>
      <c r="L125" s="1">
        <f>SUM(L123)</f>
        <v>223</v>
      </c>
      <c r="M125" s="5">
        <f>L125/K125</f>
        <v>9.6788194444444448E-2</v>
      </c>
      <c r="N125" s="7">
        <f>SUM(N123)</f>
        <v>1226500</v>
      </c>
      <c r="O125" s="159">
        <f>I125/G125</f>
        <v>7.6896551724137927</v>
      </c>
      <c r="S125" s="78">
        <v>46241</v>
      </c>
      <c r="T125" s="1">
        <v>1</v>
      </c>
      <c r="U125" s="177">
        <v>39</v>
      </c>
      <c r="V125" s="179">
        <v>234000</v>
      </c>
      <c r="W125" s="47"/>
      <c r="X125" s="78">
        <v>46241</v>
      </c>
      <c r="Y125" s="1" t="s">
        <v>30</v>
      </c>
      <c r="Z125" s="83"/>
      <c r="AA125" s="88"/>
      <c r="AC125" s="78">
        <v>46210</v>
      </c>
      <c r="AD125" s="1">
        <v>1</v>
      </c>
      <c r="AE125" s="178">
        <v>40</v>
      </c>
      <c r="AF125" s="180">
        <v>280000</v>
      </c>
      <c r="AH125" s="61"/>
      <c r="AI125" s="32"/>
      <c r="AJ125" s="47"/>
      <c r="AK125" s="176"/>
    </row>
    <row r="126" spans="1:45" ht="15" customHeight="1">
      <c r="S126" s="78">
        <v>46242</v>
      </c>
      <c r="T126" s="1">
        <v>1</v>
      </c>
      <c r="U126" s="178">
        <v>28</v>
      </c>
      <c r="V126" s="180">
        <v>168000</v>
      </c>
      <c r="W126" s="47"/>
      <c r="X126" s="78">
        <v>46242</v>
      </c>
      <c r="Y126" s="1" t="s">
        <v>122</v>
      </c>
      <c r="Z126" s="83"/>
      <c r="AA126" s="88"/>
      <c r="AC126" s="78">
        <v>46211</v>
      </c>
      <c r="AD126" s="1">
        <v>1</v>
      </c>
      <c r="AE126" s="177">
        <v>35</v>
      </c>
      <c r="AF126" s="179">
        <v>245000</v>
      </c>
      <c r="AH126" s="61"/>
      <c r="AI126" s="32"/>
      <c r="AJ126" s="47"/>
      <c r="AK126" s="176"/>
    </row>
    <row r="127" spans="1:45" ht="15" customHeight="1">
      <c r="S127" s="78">
        <v>46243</v>
      </c>
      <c r="T127" s="1">
        <v>1</v>
      </c>
      <c r="U127" s="177">
        <v>19</v>
      </c>
      <c r="V127" s="179">
        <v>133000</v>
      </c>
      <c r="W127" s="47"/>
      <c r="X127" s="78">
        <v>46243</v>
      </c>
      <c r="Y127" s="1" t="s">
        <v>122</v>
      </c>
      <c r="Z127" s="83"/>
      <c r="AA127" s="88"/>
      <c r="AC127" s="78">
        <v>46212</v>
      </c>
      <c r="AD127" s="1" t="s">
        <v>30</v>
      </c>
      <c r="AE127" s="181"/>
      <c r="AF127" s="182"/>
      <c r="AH127" s="61"/>
      <c r="AI127" s="32"/>
      <c r="AJ127" s="47"/>
      <c r="AK127" s="176"/>
    </row>
    <row r="128" spans="1:45">
      <c r="A128" s="252" t="s">
        <v>41</v>
      </c>
      <c r="B128" s="252"/>
      <c r="S128" s="78">
        <v>46244</v>
      </c>
      <c r="T128" s="1" t="s">
        <v>30</v>
      </c>
      <c r="U128" s="83"/>
      <c r="V128" s="88"/>
      <c r="W128" s="47"/>
      <c r="X128" s="78">
        <v>46244</v>
      </c>
      <c r="Y128" s="1">
        <v>1</v>
      </c>
      <c r="Z128" s="177">
        <v>14</v>
      </c>
      <c r="AA128" s="179">
        <v>77000</v>
      </c>
      <c r="AC128" s="78">
        <v>46213</v>
      </c>
      <c r="AD128" s="1">
        <v>1</v>
      </c>
      <c r="AE128" s="178">
        <v>43</v>
      </c>
      <c r="AF128" s="180">
        <v>301000</v>
      </c>
      <c r="AH128" s="61"/>
      <c r="AI128" s="32"/>
      <c r="AJ128" s="47"/>
      <c r="AK128" s="176"/>
    </row>
    <row r="129" spans="1:37">
      <c r="A129" s="257" t="s">
        <v>123</v>
      </c>
      <c r="B129" s="257"/>
      <c r="C129" s="257"/>
      <c r="D129" s="257"/>
      <c r="E129" s="257"/>
      <c r="F129" s="257"/>
      <c r="G129" s="257"/>
      <c r="H129" s="257"/>
      <c r="I129" s="257"/>
      <c r="J129" s="257"/>
      <c r="K129" s="257"/>
      <c r="S129" s="78">
        <v>46245</v>
      </c>
      <c r="T129" s="1">
        <v>1</v>
      </c>
      <c r="U129" s="178">
        <v>35</v>
      </c>
      <c r="V129" s="180">
        <v>245000</v>
      </c>
      <c r="W129" s="47"/>
      <c r="X129" s="78">
        <v>46245</v>
      </c>
      <c r="Y129" s="1">
        <v>1</v>
      </c>
      <c r="Z129" s="178">
        <v>6</v>
      </c>
      <c r="AA129" s="180">
        <v>33000</v>
      </c>
      <c r="AC129" s="78">
        <v>46214</v>
      </c>
      <c r="AD129" s="1">
        <v>1</v>
      </c>
      <c r="AE129" s="177">
        <v>42</v>
      </c>
      <c r="AF129" s="179">
        <v>294000</v>
      </c>
      <c r="AH129" s="61"/>
      <c r="AI129" s="32"/>
      <c r="AJ129" s="165"/>
      <c r="AK129" s="174"/>
    </row>
    <row r="130" spans="1:37">
      <c r="A130" s="257" t="s">
        <v>102</v>
      </c>
      <c r="B130" s="257"/>
      <c r="C130" s="257"/>
      <c r="D130" s="257"/>
      <c r="E130" s="257"/>
      <c r="F130" s="257"/>
      <c r="S130" s="78">
        <v>46246</v>
      </c>
      <c r="T130" s="1">
        <v>1</v>
      </c>
      <c r="U130" s="177">
        <v>29</v>
      </c>
      <c r="V130" s="179">
        <v>203000</v>
      </c>
      <c r="W130" s="47"/>
      <c r="X130" s="78">
        <v>46246</v>
      </c>
      <c r="Y130" s="1">
        <v>1</v>
      </c>
      <c r="Z130" s="177">
        <v>14</v>
      </c>
      <c r="AA130" s="179">
        <v>77000</v>
      </c>
      <c r="AC130" s="78">
        <v>46215</v>
      </c>
      <c r="AD130" s="1">
        <v>1</v>
      </c>
      <c r="AE130" s="178">
        <v>30</v>
      </c>
      <c r="AF130" s="180">
        <v>210000</v>
      </c>
      <c r="AH130" s="61"/>
      <c r="AI130" s="32"/>
      <c r="AJ130" s="165"/>
      <c r="AK130" s="174"/>
    </row>
    <row r="131" spans="1:37">
      <c r="A131" t="s">
        <v>124</v>
      </c>
      <c r="S131" s="78">
        <v>46247</v>
      </c>
      <c r="T131" s="1">
        <v>1</v>
      </c>
      <c r="U131" s="178">
        <v>19</v>
      </c>
      <c r="V131" s="180">
        <v>133000</v>
      </c>
      <c r="W131" s="47"/>
      <c r="X131" s="78">
        <v>46247</v>
      </c>
      <c r="Y131" s="1" t="s">
        <v>30</v>
      </c>
      <c r="Z131" s="177"/>
      <c r="AA131" s="179"/>
      <c r="AC131" s="78">
        <v>46216</v>
      </c>
      <c r="AD131" s="1">
        <v>1</v>
      </c>
      <c r="AE131" s="177">
        <v>13</v>
      </c>
      <c r="AF131" s="179">
        <v>91000</v>
      </c>
      <c r="AH131" s="61"/>
      <c r="AI131" s="32"/>
      <c r="AJ131" s="165"/>
      <c r="AK131" s="174"/>
    </row>
    <row r="132" spans="1:37">
      <c r="A132" t="s">
        <v>125</v>
      </c>
      <c r="S132" s="78">
        <v>46248</v>
      </c>
      <c r="T132" s="1">
        <v>1</v>
      </c>
      <c r="U132" s="177">
        <v>21</v>
      </c>
      <c r="V132" s="179">
        <v>147000</v>
      </c>
      <c r="W132" s="47"/>
      <c r="X132" s="78">
        <v>46248</v>
      </c>
      <c r="Y132" s="1">
        <v>1</v>
      </c>
      <c r="Z132" s="178">
        <v>13</v>
      </c>
      <c r="AA132" s="180">
        <v>71500</v>
      </c>
      <c r="AC132" s="78">
        <v>46217</v>
      </c>
      <c r="AD132" s="1" t="s">
        <v>30</v>
      </c>
      <c r="AE132" s="181"/>
      <c r="AF132" s="182"/>
      <c r="AH132" s="61"/>
      <c r="AI132" s="32"/>
      <c r="AJ132" s="47"/>
      <c r="AK132" s="176"/>
    </row>
    <row r="133" spans="1:37">
      <c r="A133" s="252" t="s">
        <v>46</v>
      </c>
      <c r="B133" s="252"/>
      <c r="C133" s="85"/>
      <c r="D133" s="85"/>
      <c r="E133" s="85"/>
      <c r="F133" s="85"/>
      <c r="G133" s="85"/>
      <c r="H133" s="85"/>
      <c r="I133" s="85"/>
      <c r="S133" s="78">
        <v>46249</v>
      </c>
      <c r="T133" s="1">
        <v>1</v>
      </c>
      <c r="U133" s="178">
        <v>16</v>
      </c>
      <c r="V133" s="180">
        <v>112000</v>
      </c>
      <c r="W133" s="47"/>
      <c r="X133" s="78">
        <v>46249</v>
      </c>
      <c r="Y133" s="1">
        <v>1</v>
      </c>
      <c r="Z133" s="177">
        <v>15</v>
      </c>
      <c r="AA133" s="179">
        <v>82500</v>
      </c>
      <c r="AC133" s="78">
        <v>46218</v>
      </c>
      <c r="AD133" s="1">
        <v>1</v>
      </c>
      <c r="AE133" s="178">
        <v>15</v>
      </c>
      <c r="AF133" s="180">
        <v>82500</v>
      </c>
      <c r="AH133" s="61"/>
      <c r="AI133" s="32"/>
      <c r="AJ133" s="47"/>
      <c r="AK133" s="176"/>
    </row>
    <row r="134" spans="1:37">
      <c r="A134" t="s">
        <v>104</v>
      </c>
      <c r="S134" s="78">
        <v>46250</v>
      </c>
      <c r="T134" s="1">
        <v>1</v>
      </c>
      <c r="U134" s="177">
        <v>26</v>
      </c>
      <c r="V134" s="179">
        <v>182000</v>
      </c>
      <c r="W134" s="47"/>
      <c r="X134" s="78">
        <v>46250</v>
      </c>
      <c r="Y134" s="1" t="s">
        <v>34</v>
      </c>
      <c r="Z134" s="178"/>
      <c r="AA134" s="180"/>
      <c r="AC134" s="78">
        <v>46219</v>
      </c>
      <c r="AD134" s="1">
        <v>1</v>
      </c>
      <c r="AE134" s="177">
        <v>30</v>
      </c>
      <c r="AF134" s="179">
        <v>165000</v>
      </c>
      <c r="AH134" s="61"/>
      <c r="AI134" s="32"/>
      <c r="AJ134" s="47"/>
      <c r="AK134" s="176"/>
    </row>
    <row r="135" spans="1:37" ht="20.25" customHeight="1">
      <c r="A135" t="s">
        <v>126</v>
      </c>
      <c r="S135" s="78">
        <v>46251</v>
      </c>
      <c r="T135" s="1" t="s">
        <v>50</v>
      </c>
      <c r="U135" s="83"/>
      <c r="V135" s="88"/>
      <c r="W135" s="47"/>
      <c r="X135" s="78">
        <v>46251</v>
      </c>
      <c r="Y135" s="1">
        <v>1</v>
      </c>
      <c r="Z135" s="178">
        <v>24</v>
      </c>
      <c r="AA135" s="180">
        <v>132000</v>
      </c>
      <c r="AC135" s="78">
        <v>46220</v>
      </c>
      <c r="AD135" s="1" t="s">
        <v>50</v>
      </c>
      <c r="AE135" s="40"/>
      <c r="AF135" s="89"/>
      <c r="AH135" s="61"/>
      <c r="AI135" s="32"/>
      <c r="AJ135" s="47"/>
      <c r="AK135" s="176"/>
    </row>
    <row r="136" spans="1:37" ht="20.25" customHeight="1">
      <c r="A136" t="s">
        <v>106</v>
      </c>
      <c r="M136" s="97"/>
      <c r="S136" s="78">
        <v>46252</v>
      </c>
      <c r="T136" s="1">
        <v>1</v>
      </c>
      <c r="U136" s="82">
        <v>53</v>
      </c>
      <c r="V136" s="87">
        <v>371000</v>
      </c>
      <c r="W136" s="47"/>
      <c r="X136" s="78">
        <v>46252</v>
      </c>
      <c r="Y136" s="1">
        <v>1</v>
      </c>
      <c r="Z136" s="82">
        <v>27</v>
      </c>
      <c r="AA136" s="87">
        <v>148500</v>
      </c>
      <c r="AC136" s="78">
        <v>46221</v>
      </c>
      <c r="AD136" s="1">
        <v>1</v>
      </c>
      <c r="AE136" s="40">
        <v>50</v>
      </c>
      <c r="AF136" s="89">
        <v>275000</v>
      </c>
      <c r="AH136" s="61"/>
      <c r="AI136" s="32"/>
      <c r="AJ136" s="47"/>
      <c r="AK136" s="176"/>
    </row>
    <row r="137" spans="1:37">
      <c r="A137" t="s">
        <v>127</v>
      </c>
      <c r="M137" s="97"/>
      <c r="S137" s="78">
        <v>46253</v>
      </c>
      <c r="T137" s="1">
        <v>1</v>
      </c>
      <c r="U137" s="82">
        <v>37</v>
      </c>
      <c r="V137" s="87">
        <v>259000</v>
      </c>
      <c r="W137" s="47"/>
      <c r="X137" s="78">
        <v>46253</v>
      </c>
      <c r="Y137" s="1">
        <v>1</v>
      </c>
      <c r="Z137" s="82">
        <v>45</v>
      </c>
      <c r="AA137" s="87">
        <v>247500</v>
      </c>
      <c r="AC137" s="78">
        <v>46222</v>
      </c>
      <c r="AD137" s="1">
        <v>1</v>
      </c>
      <c r="AE137" s="40">
        <v>34</v>
      </c>
      <c r="AF137" s="89">
        <v>193800</v>
      </c>
      <c r="AH137" s="61"/>
      <c r="AI137" s="32"/>
      <c r="AJ137" s="47"/>
      <c r="AK137" s="176"/>
    </row>
    <row r="138" spans="1:37">
      <c r="S138" s="78">
        <v>46254</v>
      </c>
      <c r="T138" s="1"/>
      <c r="U138" s="82"/>
      <c r="V138" s="87"/>
      <c r="W138" s="47"/>
      <c r="X138" s="78">
        <v>46254</v>
      </c>
      <c r="Y138" s="1"/>
      <c r="Z138" s="82"/>
      <c r="AA138" s="87"/>
      <c r="AC138" s="78">
        <v>46223</v>
      </c>
      <c r="AD138" s="1"/>
      <c r="AE138" s="40"/>
      <c r="AF138" s="89"/>
      <c r="AH138" s="61"/>
      <c r="AI138" s="32"/>
      <c r="AJ138" s="47"/>
      <c r="AK138" s="176"/>
    </row>
    <row r="139" spans="1:37">
      <c r="S139" s="78">
        <v>46255</v>
      </c>
      <c r="T139" s="1"/>
      <c r="U139" s="83"/>
      <c r="V139" s="88"/>
      <c r="W139" s="47"/>
      <c r="X139" s="78">
        <v>46255</v>
      </c>
      <c r="Y139" s="1"/>
      <c r="Z139" s="83"/>
      <c r="AA139" s="88"/>
      <c r="AC139" s="78">
        <v>46224</v>
      </c>
      <c r="AD139" s="1"/>
      <c r="AE139" s="40"/>
      <c r="AF139" s="89"/>
      <c r="AH139" s="61"/>
      <c r="AI139" s="32"/>
      <c r="AJ139" s="47"/>
      <c r="AK139" s="176"/>
    </row>
    <row r="140" spans="1:37">
      <c r="S140" s="78">
        <v>46256</v>
      </c>
      <c r="T140" s="1"/>
      <c r="U140" s="82"/>
      <c r="V140" s="87"/>
      <c r="W140" s="47"/>
      <c r="X140" s="78">
        <v>46256</v>
      </c>
      <c r="Y140" s="1"/>
      <c r="Z140" s="82"/>
      <c r="AA140" s="87"/>
      <c r="AC140" s="78">
        <v>46225</v>
      </c>
      <c r="AD140" s="1"/>
      <c r="AE140" s="40"/>
      <c r="AF140" s="89"/>
      <c r="AH140" s="61"/>
      <c r="AI140" s="32"/>
      <c r="AJ140" s="47"/>
      <c r="AK140" s="176"/>
    </row>
    <row r="141" spans="1:37">
      <c r="S141" s="78">
        <v>46257</v>
      </c>
      <c r="T141" s="4"/>
      <c r="U141" s="81"/>
      <c r="V141" s="89"/>
      <c r="W141" s="47"/>
      <c r="X141" s="78">
        <v>46257</v>
      </c>
      <c r="Y141" s="4"/>
      <c r="Z141" s="81"/>
      <c r="AA141" s="89"/>
      <c r="AC141" s="78">
        <v>46226</v>
      </c>
      <c r="AD141" s="1"/>
      <c r="AE141" s="40"/>
      <c r="AF141" s="89"/>
      <c r="AH141" s="61"/>
      <c r="AI141" s="32"/>
      <c r="AJ141" s="47"/>
      <c r="AK141" s="176"/>
    </row>
    <row r="142" spans="1:37">
      <c r="S142" s="78">
        <v>46258</v>
      </c>
      <c r="T142" s="4"/>
      <c r="U142" s="81"/>
      <c r="V142" s="89"/>
      <c r="W142" s="47"/>
      <c r="X142" s="78">
        <v>46258</v>
      </c>
      <c r="Y142" s="4"/>
      <c r="Z142" s="81"/>
      <c r="AA142" s="89"/>
      <c r="AC142" s="78">
        <v>46227</v>
      </c>
      <c r="AD142" s="1"/>
      <c r="AE142" s="40"/>
      <c r="AF142" s="89"/>
      <c r="AH142" s="61"/>
      <c r="AI142" s="32"/>
      <c r="AJ142" s="47"/>
      <c r="AK142" s="176"/>
    </row>
    <row r="143" spans="1:37">
      <c r="S143" s="78">
        <v>46259</v>
      </c>
      <c r="T143" s="4"/>
      <c r="U143" s="81"/>
      <c r="V143" s="89"/>
      <c r="W143" s="47"/>
      <c r="X143" s="78">
        <v>46259</v>
      </c>
      <c r="Y143" s="4"/>
      <c r="Z143" s="81"/>
      <c r="AA143" s="89"/>
      <c r="AC143" s="78">
        <v>46228</v>
      </c>
      <c r="AD143" s="1"/>
      <c r="AE143" s="40"/>
      <c r="AF143" s="89"/>
      <c r="AH143" s="61"/>
      <c r="AI143" s="32"/>
      <c r="AJ143" s="47"/>
      <c r="AK143" s="176"/>
    </row>
    <row r="144" spans="1:37">
      <c r="L144" s="32"/>
      <c r="M144" s="32"/>
      <c r="N144" s="32"/>
      <c r="S144" s="78">
        <v>46260</v>
      </c>
      <c r="T144" s="4"/>
      <c r="U144" s="81"/>
      <c r="V144" s="89"/>
      <c r="W144" s="47"/>
      <c r="X144" s="78">
        <v>46260</v>
      </c>
      <c r="Y144" s="4"/>
      <c r="Z144" s="81"/>
      <c r="AA144" s="89"/>
      <c r="AC144" s="78">
        <v>46229</v>
      </c>
      <c r="AD144" s="1"/>
      <c r="AE144" s="40"/>
      <c r="AF144" s="89"/>
      <c r="AH144" s="61"/>
      <c r="AI144" s="32"/>
      <c r="AJ144" s="47"/>
      <c r="AK144" s="176"/>
    </row>
    <row r="145" spans="12:37">
      <c r="L145" s="32"/>
      <c r="M145" s="32"/>
      <c r="N145" s="68"/>
      <c r="S145" s="78">
        <v>46261</v>
      </c>
      <c r="T145" s="1"/>
      <c r="U145" s="160"/>
      <c r="V145" s="161"/>
      <c r="W145" s="47"/>
      <c r="X145" s="78">
        <v>46261</v>
      </c>
      <c r="Y145" s="1"/>
      <c r="Z145" s="160"/>
      <c r="AA145" s="161"/>
      <c r="AC145" s="78">
        <v>46230</v>
      </c>
      <c r="AD145" s="1"/>
      <c r="AE145" s="40"/>
      <c r="AF145" s="89"/>
      <c r="AH145" s="61"/>
      <c r="AI145" s="32"/>
      <c r="AJ145" s="47"/>
      <c r="AK145" s="176"/>
    </row>
    <row r="146" spans="12:37">
      <c r="L146" s="32"/>
      <c r="M146" s="32"/>
      <c r="N146" s="68"/>
      <c r="S146" s="78">
        <v>46262</v>
      </c>
      <c r="T146" s="1"/>
      <c r="U146" s="160"/>
      <c r="V146" s="161"/>
      <c r="W146" s="47"/>
      <c r="X146" s="78">
        <v>46262</v>
      </c>
      <c r="Y146" s="1"/>
      <c r="Z146" s="160"/>
      <c r="AA146" s="161"/>
      <c r="AC146" s="78">
        <v>46231</v>
      </c>
      <c r="AD146" s="1"/>
      <c r="AE146" s="40"/>
      <c r="AF146" s="89"/>
      <c r="AH146" s="61"/>
      <c r="AI146" s="32"/>
      <c r="AJ146" s="47"/>
      <c r="AK146" s="176"/>
    </row>
    <row r="147" spans="12:37">
      <c r="L147" s="32"/>
      <c r="M147" s="32"/>
      <c r="N147" s="68"/>
      <c r="S147" s="78">
        <v>46263</v>
      </c>
      <c r="T147" s="1"/>
      <c r="U147" s="160"/>
      <c r="V147" s="161"/>
      <c r="X147" s="78">
        <v>46263</v>
      </c>
      <c r="Y147" s="1"/>
      <c r="Z147" s="160"/>
      <c r="AA147" s="161"/>
      <c r="AC147" s="78">
        <v>46232</v>
      </c>
      <c r="AD147" s="1"/>
      <c r="AE147" s="40"/>
      <c r="AF147" s="89"/>
      <c r="AH147" s="61"/>
      <c r="AI147" s="32"/>
      <c r="AJ147" s="47"/>
      <c r="AK147" s="176"/>
    </row>
    <row r="148" spans="12:37" ht="15" customHeight="1">
      <c r="L148" s="32"/>
      <c r="M148" s="32"/>
      <c r="N148" s="68"/>
      <c r="S148" s="78">
        <v>46264</v>
      </c>
      <c r="T148" s="1"/>
      <c r="U148" s="160"/>
      <c r="V148" s="161"/>
      <c r="X148" s="78">
        <v>46264</v>
      </c>
      <c r="Y148" s="1"/>
      <c r="Z148" s="160"/>
      <c r="AA148" s="161"/>
      <c r="AC148" s="78">
        <v>46233</v>
      </c>
      <c r="AD148" s="1"/>
      <c r="AE148" s="40"/>
      <c r="AF148" s="89"/>
      <c r="AH148" s="61"/>
      <c r="AI148" s="32"/>
      <c r="AJ148" s="47"/>
      <c r="AK148" s="176"/>
    </row>
    <row r="149" spans="12:37" ht="15" customHeight="1">
      <c r="L149" s="32"/>
      <c r="M149" s="32"/>
      <c r="N149" s="68"/>
      <c r="S149" s="78">
        <v>46265</v>
      </c>
      <c r="T149" s="1"/>
      <c r="U149" s="83"/>
      <c r="V149" s="88"/>
      <c r="X149" s="78">
        <v>46265</v>
      </c>
      <c r="Y149" s="1"/>
      <c r="Z149" s="83"/>
      <c r="AA149" s="88"/>
      <c r="AC149" s="78">
        <v>46234</v>
      </c>
      <c r="AD149" s="1"/>
      <c r="AE149" s="40"/>
      <c r="AF149" s="89"/>
      <c r="AH149" s="61"/>
      <c r="AI149" s="32"/>
      <c r="AJ149" s="47"/>
      <c r="AK149" s="176"/>
    </row>
  </sheetData>
  <mergeCells count="195">
    <mergeCell ref="AM17:AM18"/>
    <mergeCell ref="AM20:AM22"/>
    <mergeCell ref="AM24:AM25"/>
    <mergeCell ref="AM23:AN23"/>
    <mergeCell ref="AM27:AN27"/>
    <mergeCell ref="X117:AA117"/>
    <mergeCell ref="AC117:AF117"/>
    <mergeCell ref="AC80:AK80"/>
    <mergeCell ref="AC81:AF81"/>
    <mergeCell ref="S116:AF116"/>
    <mergeCell ref="AM19:AN19"/>
    <mergeCell ref="AM26:AN26"/>
    <mergeCell ref="S117:V117"/>
    <mergeCell ref="A88:F88"/>
    <mergeCell ref="C87:D87"/>
    <mergeCell ref="AH81:AK81"/>
    <mergeCell ref="H24:H25"/>
    <mergeCell ref="I24:I25"/>
    <mergeCell ref="X38:AA38"/>
    <mergeCell ref="S37:AA37"/>
    <mergeCell ref="K31:K32"/>
    <mergeCell ref="AC37:AK37"/>
    <mergeCell ref="AH38:AK38"/>
    <mergeCell ref="E24:E25"/>
    <mergeCell ref="A84:A85"/>
    <mergeCell ref="B84:B85"/>
    <mergeCell ref="K83:M83"/>
    <mergeCell ref="O84:O85"/>
    <mergeCell ref="O31:O32"/>
    <mergeCell ref="N84:N85"/>
    <mergeCell ref="N31:N32"/>
    <mergeCell ref="N38:N39"/>
    <mergeCell ref="J38:J39"/>
    <mergeCell ref="K38:K39"/>
    <mergeCell ref="L38:L39"/>
    <mergeCell ref="C26:D26"/>
    <mergeCell ref="J24:J25"/>
    <mergeCell ref="A28:F28"/>
    <mergeCell ref="F31:F32"/>
    <mergeCell ref="G31:G32"/>
    <mergeCell ref="F24:F25"/>
    <mergeCell ref="G24:G25"/>
    <mergeCell ref="G38:G39"/>
    <mergeCell ref="H38:H39"/>
    <mergeCell ref="F38:F39"/>
    <mergeCell ref="K37:M37"/>
    <mergeCell ref="H37:J37"/>
    <mergeCell ref="A128:B128"/>
    <mergeCell ref="A129:K129"/>
    <mergeCell ref="A35:F35"/>
    <mergeCell ref="O38:O39"/>
    <mergeCell ref="A120:A121"/>
    <mergeCell ref="B120:B121"/>
    <mergeCell ref="C120:D121"/>
    <mergeCell ref="E120:E121"/>
    <mergeCell ref="A90:B90"/>
    <mergeCell ref="A91:K91"/>
    <mergeCell ref="A92:F92"/>
    <mergeCell ref="A95:B95"/>
    <mergeCell ref="O120:O121"/>
    <mergeCell ref="C122:D122"/>
    <mergeCell ref="M84:M85"/>
    <mergeCell ref="A50:B50"/>
    <mergeCell ref="L120:L121"/>
    <mergeCell ref="M120:M121"/>
    <mergeCell ref="H83:J83"/>
    <mergeCell ref="G84:G85"/>
    <mergeCell ref="C124:D124"/>
    <mergeCell ref="H119:J119"/>
    <mergeCell ref="K119:M119"/>
    <mergeCell ref="K120:K121"/>
    <mergeCell ref="S1:AK1"/>
    <mergeCell ref="C86:D86"/>
    <mergeCell ref="S2:V2"/>
    <mergeCell ref="X2:AA2"/>
    <mergeCell ref="S81:V81"/>
    <mergeCell ref="X81:AA81"/>
    <mergeCell ref="S80:AA80"/>
    <mergeCell ref="H84:H85"/>
    <mergeCell ref="I84:I85"/>
    <mergeCell ref="J84:J85"/>
    <mergeCell ref="K84:K85"/>
    <mergeCell ref="L84:L85"/>
    <mergeCell ref="F3:F4"/>
    <mergeCell ref="M38:M39"/>
    <mergeCell ref="C27:D27"/>
    <mergeCell ref="C24:D25"/>
    <mergeCell ref="G3:G4"/>
    <mergeCell ref="C33:D33"/>
    <mergeCell ref="C6:D6"/>
    <mergeCell ref="C34:D34"/>
    <mergeCell ref="H3:H4"/>
    <mergeCell ref="E31:E32"/>
    <mergeCell ref="A12:K12"/>
    <mergeCell ref="A13:F13"/>
    <mergeCell ref="A11:B11"/>
    <mergeCell ref="A17:B17"/>
    <mergeCell ref="A3:A4"/>
    <mergeCell ref="C8:D8"/>
    <mergeCell ref="A9:F9"/>
    <mergeCell ref="A133:B133"/>
    <mergeCell ref="C5:D5"/>
    <mergeCell ref="C7:D7"/>
    <mergeCell ref="E3:E4"/>
    <mergeCell ref="B24:B25"/>
    <mergeCell ref="C3:D4"/>
    <mergeCell ref="B3:B4"/>
    <mergeCell ref="B38:B39"/>
    <mergeCell ref="C38:D39"/>
    <mergeCell ref="E38:E39"/>
    <mergeCell ref="A38:A39"/>
    <mergeCell ref="A46:F46"/>
    <mergeCell ref="A24:A25"/>
    <mergeCell ref="A130:F130"/>
    <mergeCell ref="A31:A32"/>
    <mergeCell ref="C40:D40"/>
    <mergeCell ref="A125:F125"/>
    <mergeCell ref="A44:B44"/>
    <mergeCell ref="A45:K45"/>
    <mergeCell ref="AH2:AK2"/>
    <mergeCell ref="AC2:AF2"/>
    <mergeCell ref="N24:N25"/>
    <mergeCell ref="O24:O25"/>
    <mergeCell ref="AM4:AM5"/>
    <mergeCell ref="AM3:BS3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E4:BE5"/>
    <mergeCell ref="BG4:BG5"/>
    <mergeCell ref="BH4:BH5"/>
    <mergeCell ref="BI4:BI5"/>
    <mergeCell ref="AM16:AN16"/>
    <mergeCell ref="AN4:AN5"/>
    <mergeCell ref="AO4:AO5"/>
    <mergeCell ref="AP4:AP5"/>
    <mergeCell ref="H2:J2"/>
    <mergeCell ref="K2:M2"/>
    <mergeCell ref="H23:J23"/>
    <mergeCell ref="H30:J30"/>
    <mergeCell ref="K30:M30"/>
    <mergeCell ref="J3:J4"/>
    <mergeCell ref="K3:K4"/>
    <mergeCell ref="M24:M25"/>
    <mergeCell ref="L3:L4"/>
    <mergeCell ref="M3:M4"/>
    <mergeCell ref="I3:I4"/>
    <mergeCell ref="K24:K25"/>
    <mergeCell ref="L24:L25"/>
    <mergeCell ref="K23:M23"/>
    <mergeCell ref="AQ4:AQ5"/>
    <mergeCell ref="BF4:BF5"/>
    <mergeCell ref="AR4:AU4"/>
    <mergeCell ref="AV4:AY4"/>
    <mergeCell ref="AM6:AM9"/>
    <mergeCell ref="AM11:AM12"/>
    <mergeCell ref="AM14:AM15"/>
    <mergeCell ref="AZ4:AZ5"/>
    <mergeCell ref="BA4:BA5"/>
    <mergeCell ref="BB4:BB5"/>
    <mergeCell ref="BC4:BC5"/>
    <mergeCell ref="BD4:BD5"/>
    <mergeCell ref="AM10:AN10"/>
    <mergeCell ref="AM13:AN13"/>
    <mergeCell ref="N3:N4"/>
    <mergeCell ref="O3:O4"/>
    <mergeCell ref="AC38:AF38"/>
    <mergeCell ref="S38:V38"/>
    <mergeCell ref="C123:D123"/>
    <mergeCell ref="N120:N121"/>
    <mergeCell ref="F120:F121"/>
    <mergeCell ref="G120:G121"/>
    <mergeCell ref="H120:H121"/>
    <mergeCell ref="I120:I121"/>
    <mergeCell ref="J120:J121"/>
    <mergeCell ref="L31:L32"/>
    <mergeCell ref="M31:M32"/>
    <mergeCell ref="H31:H32"/>
    <mergeCell ref="I31:I32"/>
    <mergeCell ref="J31:J32"/>
    <mergeCell ref="C84:D85"/>
    <mergeCell ref="E84:E85"/>
    <mergeCell ref="F84:F85"/>
    <mergeCell ref="A42:F42"/>
    <mergeCell ref="C41:D41"/>
    <mergeCell ref="B31:B32"/>
    <mergeCell ref="C31:D32"/>
    <mergeCell ref="I38:I39"/>
  </mergeCells>
  <conditionalFormatting sqref="BB6:BB26">
    <cfRule type="expression" dxfId="22" priority="3">
      <formula>BB6&gt;=1</formula>
    </cfRule>
    <cfRule type="expression" dxfId="21" priority="4">
      <formula>AND(BB6&gt;=0.8,BB6&lt;1)</formula>
    </cfRule>
    <cfRule type="expression" dxfId="20" priority="5">
      <formula>BB6&lt;0.8</formula>
    </cfRule>
  </conditionalFormatting>
  <conditionalFormatting sqref="BE6:BE26">
    <cfRule type="expression" dxfId="19" priority="1">
      <formula>BE6&lt;=BM6</formula>
    </cfRule>
    <cfRule type="expression" dxfId="18" priority="2">
      <formula>BE6&gt;BM6</formula>
    </cfRule>
  </conditionalFormatting>
  <conditionalFormatting sqref="BL6:BL26">
    <cfRule type="expression" dxfId="17" priority="6">
      <formula>BL6&lt;=0</formula>
    </cfRule>
    <cfRule type="expression" dxfId="16" priority="7">
      <formula>BL6&gt;0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zoomScale="77" workbookViewId="0">
      <selection activeCell="Q17" sqref="Q17"/>
    </sheetView>
  </sheetViews>
  <sheetFormatPr defaultRowHeight="15"/>
  <cols>
    <col min="1" max="1" width="16" customWidth="1"/>
    <col min="2" max="2" width="18" customWidth="1"/>
    <col min="3" max="3" width="12" customWidth="1"/>
    <col min="4" max="19" width="10" customWidth="1"/>
    <col min="20" max="20" width="12" customWidth="1"/>
    <col min="21" max="21" width="10" customWidth="1"/>
    <col min="22" max="22" width="22" customWidth="1"/>
  </cols>
  <sheetData>
    <row r="1" spans="1:22" ht="24" customHeight="1">
      <c r="A1" s="277" t="s">
        <v>438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9"/>
    </row>
    <row r="2" spans="1:22" ht="21.95" customHeight="1">
      <c r="A2" s="280" t="s">
        <v>439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2"/>
    </row>
    <row r="4" spans="1:22" ht="30" customHeight="1">
      <c r="A4" s="213" t="s">
        <v>9</v>
      </c>
      <c r="B4" s="213" t="s">
        <v>153</v>
      </c>
      <c r="C4" s="213" t="s">
        <v>440</v>
      </c>
      <c r="D4" s="213" t="s">
        <v>441</v>
      </c>
      <c r="E4" s="213" t="s">
        <v>442</v>
      </c>
      <c r="F4" s="214">
        <v>46252</v>
      </c>
      <c r="G4" s="214">
        <v>46253</v>
      </c>
      <c r="H4" s="214">
        <v>46254</v>
      </c>
      <c r="I4" s="214">
        <v>46255</v>
      </c>
      <c r="J4" s="214">
        <v>46256</v>
      </c>
      <c r="K4" s="214" t="s">
        <v>451</v>
      </c>
      <c r="L4" s="214">
        <v>46258</v>
      </c>
      <c r="M4" s="214">
        <v>46259</v>
      </c>
      <c r="N4" s="214">
        <v>46260</v>
      </c>
      <c r="O4" s="214">
        <v>46261</v>
      </c>
      <c r="P4" s="214">
        <v>46262</v>
      </c>
      <c r="Q4" s="214">
        <v>46263</v>
      </c>
      <c r="R4" s="214">
        <v>46264</v>
      </c>
      <c r="S4" s="214">
        <v>46265</v>
      </c>
      <c r="T4" s="213" t="s">
        <v>443</v>
      </c>
      <c r="U4" s="213" t="s">
        <v>444</v>
      </c>
      <c r="V4" s="213" t="s">
        <v>233</v>
      </c>
    </row>
    <row r="5" spans="1:22">
      <c r="A5" s="183" t="s">
        <v>26</v>
      </c>
      <c r="B5" s="183" t="s">
        <v>429</v>
      </c>
      <c r="C5" s="183">
        <f>COUNTIF('Daily Report &amp; WIP'!T4:T20,1)</f>
        <v>12</v>
      </c>
      <c r="D5" s="183">
        <v>24</v>
      </c>
      <c r="E5" s="183">
        <f t="shared" ref="E5:E19" si="0">MAX(D5-C5,0)</f>
        <v>12</v>
      </c>
      <c r="F5" s="183" t="str">
        <f t="shared" ref="F5:F19" si="1">IF($E5&gt;0,"KERJA","OFF TARGET")</f>
        <v>KERJA</v>
      </c>
      <c r="G5" s="183" t="str">
        <f>IF(COUNTIF($F5:F5,"KERJA")&lt;$E5,"KERJA","OFF TARGET")</f>
        <v>KERJA</v>
      </c>
      <c r="H5" s="183" t="str">
        <f>IF(COUNTIF($F5:G5,"KERJA")&lt;$E5,"KERJA","OFF TARGET")</f>
        <v>KERJA</v>
      </c>
      <c r="I5" s="183" t="str">
        <f>IF(COUNTIF($F5:H5,"KERJA")&lt;$E5,"KERJA","OFF TARGET")</f>
        <v>KERJA</v>
      </c>
      <c r="J5" s="183" t="str">
        <f>IF(COUNTIF($F5:I5,"KERJA")&lt;$E5,"KERJA","OFF TARGET")</f>
        <v>KERJA</v>
      </c>
      <c r="K5" s="183" t="s">
        <v>30</v>
      </c>
      <c r="L5" s="183" t="str">
        <f>IF(COUNTIF($F5:K5,"KERJA")&lt;$E5,"KERJA","OFF TARGET")</f>
        <v>KERJA</v>
      </c>
      <c r="M5" s="183" t="s">
        <v>50</v>
      </c>
      <c r="N5" s="183" t="str">
        <f>IF(COUNTIF($F5:M5,"KERJA")&lt;$E5,"KERJA","OFF TARGET")</f>
        <v>KERJA</v>
      </c>
      <c r="O5" s="183" t="str">
        <f>IF(COUNTIF($F5:N5,"KERJA")&lt;$E5,"KERJA","OFF TARGET")</f>
        <v>KERJA</v>
      </c>
      <c r="P5" s="183" t="str">
        <f>IF(COUNTIF($F5:O5,"KERJA")&lt;$E5,"KERJA","OFF TARGET")</f>
        <v>KERJA</v>
      </c>
      <c r="Q5" s="183" t="str">
        <f>IF(COUNTIF($F5:P5,"KERJA")&lt;$E5,"KERJA","OFF TARGET")</f>
        <v>KERJA</v>
      </c>
      <c r="R5" s="183" t="s">
        <v>30</v>
      </c>
      <c r="S5" s="183" t="str">
        <f>IF(COUNTIF($F5:R5,"KERJA")&lt;$E5,"KERJA","OFF TARGET")</f>
        <v>KERJA</v>
      </c>
      <c r="T5" s="183">
        <f t="shared" ref="T5:T19" si="2">C5+COUNTIF(F5:S5,"KERJA")</f>
        <v>23</v>
      </c>
      <c r="U5" s="183">
        <f t="shared" ref="U5:U19" si="3">D5-T5</f>
        <v>1</v>
      </c>
      <c r="V5" s="183" t="str">
        <f t="shared" ref="V5:V19" si="4">IF(U5=0,"TARGET 24 HK TERCAPAI",IF(U5&gt;0,"MASIH KURANG "&amp;U5&amp;" HK","LEBIH "&amp;ABS(U5)&amp;" HK"))</f>
        <v>MASIH KURANG 1 HK</v>
      </c>
    </row>
    <row r="6" spans="1:22">
      <c r="A6" s="183" t="s">
        <v>26</v>
      </c>
      <c r="B6" s="183" t="s">
        <v>35</v>
      </c>
      <c r="C6" s="183">
        <f>COUNTIF('Daily Report &amp; WIP'!Y4:Y20,1)</f>
        <v>12</v>
      </c>
      <c r="D6" s="183">
        <v>24</v>
      </c>
      <c r="E6" s="183">
        <f t="shared" si="0"/>
        <v>12</v>
      </c>
      <c r="F6" s="183" t="str">
        <f t="shared" si="1"/>
        <v>KERJA</v>
      </c>
      <c r="G6" s="183" t="str">
        <f>IF(COUNTIF($F6:F6,"KERJA")&lt;$E6,"KERJA","OFF TARGET")</f>
        <v>KERJA</v>
      </c>
      <c r="H6" s="183" t="str">
        <f>IF(COUNTIF($F6:G6,"KERJA")&lt;$E6,"KERJA","OFF TARGET")</f>
        <v>KERJA</v>
      </c>
      <c r="I6" s="183" t="str">
        <f>IF(COUNTIF($F6:H6,"KERJA")&lt;$E6,"KERJA","OFF TARGET")</f>
        <v>KERJA</v>
      </c>
      <c r="J6" s="183" t="str">
        <f>IF(COUNTIF($F6:I6,"KERJA")&lt;$E6,"KERJA","OFF TARGET")</f>
        <v>KERJA</v>
      </c>
      <c r="K6" s="183" t="s">
        <v>30</v>
      </c>
      <c r="L6" s="183" t="str">
        <f>IF(COUNTIF($F6:K6,"KERJA")&lt;$E6,"KERJA","OFF TARGET")</f>
        <v>KERJA</v>
      </c>
      <c r="M6" s="183" t="s">
        <v>50</v>
      </c>
      <c r="N6" s="183" t="str">
        <f>IF(COUNTIF($F6:M6,"KERJA")&lt;$E6,"KERJA","OFF TARGET")</f>
        <v>KERJA</v>
      </c>
      <c r="O6" s="183" t="str">
        <f>IF(COUNTIF($F6:N6,"KERJA")&lt;$E6,"KERJA","OFF TARGET")</f>
        <v>KERJA</v>
      </c>
      <c r="P6" s="183" t="str">
        <f>IF(COUNTIF($F6:O6,"KERJA")&lt;$E6,"KERJA","OFF TARGET")</f>
        <v>KERJA</v>
      </c>
      <c r="Q6" s="183" t="str">
        <f>IF(COUNTIF($F6:P6,"KERJA")&lt;$E6,"KERJA","OFF TARGET")</f>
        <v>KERJA</v>
      </c>
      <c r="R6" s="183" t="s">
        <v>30</v>
      </c>
      <c r="S6" s="183" t="str">
        <f>IF(COUNTIF($F6:R6,"KERJA")&lt;$E6,"KERJA","OFF TARGET")</f>
        <v>KERJA</v>
      </c>
      <c r="T6" s="183">
        <f t="shared" si="2"/>
        <v>23</v>
      </c>
      <c r="U6" s="183">
        <f t="shared" si="3"/>
        <v>1</v>
      </c>
      <c r="V6" s="183" t="str">
        <f t="shared" si="4"/>
        <v>MASIH KURANG 1 HK</v>
      </c>
    </row>
    <row r="7" spans="1:22" ht="30">
      <c r="A7" s="183" t="s">
        <v>26</v>
      </c>
      <c r="B7" s="183" t="s">
        <v>32</v>
      </c>
      <c r="C7" s="183">
        <f>COUNTIF('Daily Report &amp; WIP'!AD4:AD20,1)</f>
        <v>13</v>
      </c>
      <c r="D7" s="183">
        <v>24</v>
      </c>
      <c r="E7" s="183">
        <f t="shared" si="0"/>
        <v>11</v>
      </c>
      <c r="F7" s="183" t="str">
        <f t="shared" si="1"/>
        <v>KERJA</v>
      </c>
      <c r="G7" s="183" t="str">
        <f>IF(COUNTIF($F7:F7,"KERJA")&lt;$E7,"KERJA","OFF TARGET")</f>
        <v>KERJA</v>
      </c>
      <c r="H7" s="183" t="str">
        <f>IF(COUNTIF($F7:G7,"KERJA")&lt;$E7,"KERJA","OFF TARGET")</f>
        <v>KERJA</v>
      </c>
      <c r="I7" s="183" t="str">
        <f>IF(COUNTIF($F7:H7,"KERJA")&lt;$E7,"KERJA","OFF TARGET")</f>
        <v>KERJA</v>
      </c>
      <c r="J7" s="183" t="str">
        <f>IF(COUNTIF($F7:I7,"KERJA")&lt;$E7,"KERJA","OFF TARGET")</f>
        <v>KERJA</v>
      </c>
      <c r="K7" s="183" t="s">
        <v>30</v>
      </c>
      <c r="L7" s="183" t="str">
        <f>IF(COUNTIF($F7:K7,"KERJA")&lt;$E7,"KERJA","OFF TARGET")</f>
        <v>KERJA</v>
      </c>
      <c r="M7" s="183" t="s">
        <v>50</v>
      </c>
      <c r="N7" s="183" t="str">
        <f>IF(COUNTIF($F7:M7,"KERJA")&lt;$E7,"KERJA","OFF TARGET")</f>
        <v>KERJA</v>
      </c>
      <c r="O7" s="183" t="str">
        <f>IF(COUNTIF($F7:N7,"KERJA")&lt;$E7,"KERJA","OFF TARGET")</f>
        <v>KERJA</v>
      </c>
      <c r="P7" s="183" t="str">
        <f>IF(COUNTIF($F7:O7,"KERJA")&lt;$E7,"KERJA","OFF TARGET")</f>
        <v>KERJA</v>
      </c>
      <c r="Q7" s="183" t="str">
        <f>IF(COUNTIF($F7:P7,"KERJA")&lt;$E7,"KERJA","OFF TARGET")</f>
        <v>KERJA</v>
      </c>
      <c r="R7" s="183" t="s">
        <v>30</v>
      </c>
      <c r="S7" s="183" t="str">
        <f>IF(COUNTIF($F7:R7,"KERJA")&lt;$E7,"KERJA","OFF TARGET")</f>
        <v>KERJA</v>
      </c>
      <c r="T7" s="183">
        <f t="shared" si="2"/>
        <v>24</v>
      </c>
      <c r="U7" s="183">
        <f t="shared" si="3"/>
        <v>0</v>
      </c>
      <c r="V7" s="183" t="str">
        <f t="shared" si="4"/>
        <v>TARGET 24 HK TERCAPAI</v>
      </c>
    </row>
    <row r="8" spans="1:22">
      <c r="A8" s="183" t="s">
        <v>26</v>
      </c>
      <c r="B8" s="183" t="s">
        <v>38</v>
      </c>
      <c r="C8" s="183">
        <f>COUNTIF('Daily Report &amp; WIP'!AI4:AI20,1)</f>
        <v>2</v>
      </c>
      <c r="D8" s="183">
        <v>24</v>
      </c>
      <c r="E8" s="183">
        <f t="shared" si="0"/>
        <v>22</v>
      </c>
      <c r="F8" s="183" t="str">
        <f t="shared" si="1"/>
        <v>KERJA</v>
      </c>
      <c r="G8" s="183" t="str">
        <f>IF(COUNTIF($F8:F8,"KERJA")&lt;$E8,"KERJA","OFF TARGET")</f>
        <v>KERJA</v>
      </c>
      <c r="H8" s="183" t="str">
        <f>IF(COUNTIF($F8:G8,"KERJA")&lt;$E8,"KERJA","OFF TARGET")</f>
        <v>KERJA</v>
      </c>
      <c r="I8" s="183" t="str">
        <f>IF(COUNTIF($F8:H8,"KERJA")&lt;$E8,"KERJA","OFF TARGET")</f>
        <v>KERJA</v>
      </c>
      <c r="J8" s="183" t="str">
        <f>IF(COUNTIF($F8:I8,"KERJA")&lt;$E8,"KERJA","OFF TARGET")</f>
        <v>KERJA</v>
      </c>
      <c r="K8" s="183" t="s">
        <v>30</v>
      </c>
      <c r="L8" s="183" t="str">
        <f>IF(COUNTIF($F8:K8,"KERJA")&lt;$E8,"KERJA","OFF TARGET")</f>
        <v>KERJA</v>
      </c>
      <c r="M8" s="183" t="s">
        <v>50</v>
      </c>
      <c r="N8" s="183" t="str">
        <f>IF(COUNTIF($F8:M8,"KERJA")&lt;$E8,"KERJA","OFF TARGET")</f>
        <v>KERJA</v>
      </c>
      <c r="O8" s="183" t="str">
        <f>IF(COUNTIF($F8:N8,"KERJA")&lt;$E8,"KERJA","OFF TARGET")</f>
        <v>KERJA</v>
      </c>
      <c r="P8" s="183" t="str">
        <f>IF(COUNTIF($F8:O8,"KERJA")&lt;$E8,"KERJA","OFF TARGET")</f>
        <v>KERJA</v>
      </c>
      <c r="Q8" s="183" t="str">
        <f>IF(COUNTIF($F8:P8,"KERJA")&lt;$E8,"KERJA","OFF TARGET")</f>
        <v>KERJA</v>
      </c>
      <c r="R8" s="183" t="s">
        <v>30</v>
      </c>
      <c r="S8" s="183" t="str">
        <f>IF(COUNTIF($F8:R8,"KERJA")&lt;$E8,"KERJA","OFF TARGET")</f>
        <v>KERJA</v>
      </c>
      <c r="T8" s="183">
        <f t="shared" si="2"/>
        <v>13</v>
      </c>
      <c r="U8" s="183">
        <f t="shared" si="3"/>
        <v>11</v>
      </c>
      <c r="V8" s="183" t="str">
        <f t="shared" si="4"/>
        <v>MASIH KURANG 11 HK</v>
      </c>
    </row>
    <row r="9" spans="1:22">
      <c r="A9" s="183" t="s">
        <v>51</v>
      </c>
      <c r="B9" s="183" t="s">
        <v>55</v>
      </c>
      <c r="C9" s="183">
        <f>COUNTIF('Daily Report &amp; WIP'!AD40:AD56,1)</f>
        <v>12</v>
      </c>
      <c r="D9" s="183">
        <v>24</v>
      </c>
      <c r="E9" s="183">
        <f t="shared" si="0"/>
        <v>12</v>
      </c>
      <c r="F9" s="183" t="str">
        <f t="shared" si="1"/>
        <v>KERJA</v>
      </c>
      <c r="G9" s="183" t="str">
        <f>IF(COUNTIF($F9:F9,"KERJA")&lt;$E9,"KERJA","OFF TARGET")</f>
        <v>KERJA</v>
      </c>
      <c r="H9" s="183" t="str">
        <f>IF(COUNTIF($F9:G9,"KERJA")&lt;$E9,"KERJA","OFF TARGET")</f>
        <v>KERJA</v>
      </c>
      <c r="I9" s="183" t="str">
        <f>IF(COUNTIF($F9:H9,"KERJA")&lt;$E9,"KERJA","OFF TARGET")</f>
        <v>KERJA</v>
      </c>
      <c r="J9" s="183" t="str">
        <f>IF(COUNTIF($F9:I9,"KERJA")&lt;$E9,"KERJA","OFF TARGET")</f>
        <v>KERJA</v>
      </c>
      <c r="K9" s="183" t="s">
        <v>30</v>
      </c>
      <c r="L9" s="183" t="str">
        <f>IF(COUNTIF($F9:K9,"KERJA")&lt;$E9,"KERJA","OFF TARGET")</f>
        <v>KERJA</v>
      </c>
      <c r="M9" s="183" t="s">
        <v>50</v>
      </c>
      <c r="N9" s="183" t="str">
        <f>IF(COUNTIF($F9:M9,"KERJA")&lt;$E9,"KERJA","OFF TARGET")</f>
        <v>KERJA</v>
      </c>
      <c r="O9" s="183" t="str">
        <f>IF(COUNTIF($F9:N9,"KERJA")&lt;$E9,"KERJA","OFF TARGET")</f>
        <v>KERJA</v>
      </c>
      <c r="P9" s="183" t="str">
        <f>IF(COUNTIF($F9:O9,"KERJA")&lt;$E9,"KERJA","OFF TARGET")</f>
        <v>KERJA</v>
      </c>
      <c r="Q9" s="183" t="str">
        <f>IF(COUNTIF($F9:P9,"KERJA")&lt;$E9,"KERJA","OFF TARGET")</f>
        <v>KERJA</v>
      </c>
      <c r="R9" s="183" t="s">
        <v>30</v>
      </c>
      <c r="S9" s="183" t="str">
        <f>IF(COUNTIF($F9:R9,"KERJA")&lt;$E9,"KERJA","OFF TARGET")</f>
        <v>KERJA</v>
      </c>
      <c r="T9" s="183">
        <f t="shared" si="2"/>
        <v>23</v>
      </c>
      <c r="U9" s="183">
        <f t="shared" si="3"/>
        <v>1</v>
      </c>
      <c r="V9" s="183" t="str">
        <f t="shared" si="4"/>
        <v>MASIH KURANG 1 HK</v>
      </c>
    </row>
    <row r="10" spans="1:22" ht="30">
      <c r="A10" s="183" t="s">
        <v>51</v>
      </c>
      <c r="B10" s="183" t="s">
        <v>53</v>
      </c>
      <c r="C10" s="183">
        <f>COUNTIF('Daily Report &amp; WIP'!AI40:AI56,1)</f>
        <v>13</v>
      </c>
      <c r="D10" s="183">
        <v>24</v>
      </c>
      <c r="E10" s="183">
        <f t="shared" si="0"/>
        <v>11</v>
      </c>
      <c r="F10" s="183" t="str">
        <f t="shared" si="1"/>
        <v>KERJA</v>
      </c>
      <c r="G10" s="183" t="str">
        <f>IF(COUNTIF($F10:F10,"KERJA")&lt;$E10,"KERJA","OFF TARGET")</f>
        <v>KERJA</v>
      </c>
      <c r="H10" s="183" t="str">
        <f>IF(COUNTIF($F10:G10,"KERJA")&lt;$E10,"KERJA","OFF TARGET")</f>
        <v>KERJA</v>
      </c>
      <c r="I10" s="183" t="str">
        <f>IF(COUNTIF($F10:H10,"KERJA")&lt;$E10,"KERJA","OFF TARGET")</f>
        <v>KERJA</v>
      </c>
      <c r="J10" s="183" t="str">
        <f>IF(COUNTIF($F10:I10,"KERJA")&lt;$E10,"KERJA","OFF TARGET")</f>
        <v>KERJA</v>
      </c>
      <c r="K10" s="183" t="s">
        <v>30</v>
      </c>
      <c r="L10" s="183" t="str">
        <f>IF(COUNTIF($F10:K10,"KERJA")&lt;$E10,"KERJA","OFF TARGET")</f>
        <v>KERJA</v>
      </c>
      <c r="M10" s="183" t="s">
        <v>50</v>
      </c>
      <c r="N10" s="183" t="str">
        <f>IF(COUNTIF($F10:M10,"KERJA")&lt;$E10,"KERJA","OFF TARGET")</f>
        <v>KERJA</v>
      </c>
      <c r="O10" s="183" t="str">
        <f>IF(COUNTIF($F10:N10,"KERJA")&lt;$E10,"KERJA","OFF TARGET")</f>
        <v>KERJA</v>
      </c>
      <c r="P10" s="183" t="str">
        <f>IF(COUNTIF($F10:O10,"KERJA")&lt;$E10,"KERJA","OFF TARGET")</f>
        <v>KERJA</v>
      </c>
      <c r="Q10" s="183" t="str">
        <f>IF(COUNTIF($F10:P10,"KERJA")&lt;$E10,"KERJA","OFF TARGET")</f>
        <v>KERJA</v>
      </c>
      <c r="R10" s="183" t="s">
        <v>30</v>
      </c>
      <c r="S10" s="183" t="str">
        <f>IF(COUNTIF($F10:R10,"KERJA")&lt;$E10,"KERJA","OFF TARGET")</f>
        <v>KERJA</v>
      </c>
      <c r="T10" s="183">
        <f t="shared" si="2"/>
        <v>24</v>
      </c>
      <c r="U10" s="183">
        <f t="shared" si="3"/>
        <v>0</v>
      </c>
      <c r="V10" s="183" t="str">
        <f t="shared" si="4"/>
        <v>TARGET 24 HK TERCAPAI</v>
      </c>
    </row>
    <row r="11" spans="1:22" ht="30">
      <c r="A11" s="183" t="s">
        <v>163</v>
      </c>
      <c r="B11" s="183" t="s">
        <v>59</v>
      </c>
      <c r="C11" s="183">
        <f>COUNTIF('Daily Report &amp; WIP'!T83:T99,1)</f>
        <v>14</v>
      </c>
      <c r="D11" s="183">
        <v>24</v>
      </c>
      <c r="E11" s="183">
        <f t="shared" si="0"/>
        <v>10</v>
      </c>
      <c r="F11" s="183" t="str">
        <f t="shared" si="1"/>
        <v>KERJA</v>
      </c>
      <c r="G11" s="183" t="str">
        <f>IF(COUNTIF($F11:F11,"KERJA")&lt;$E11,"KERJA","OFF TARGET")</f>
        <v>KERJA</v>
      </c>
      <c r="H11" s="183" t="str">
        <f>IF(COUNTIF($F11:G11,"KERJA")&lt;$E11,"KERJA","OFF TARGET")</f>
        <v>KERJA</v>
      </c>
      <c r="I11" s="183" t="str">
        <f>IF(COUNTIF($F11:H11,"KERJA")&lt;$E11,"KERJA","OFF TARGET")</f>
        <v>KERJA</v>
      </c>
      <c r="J11" s="183" t="str">
        <f>IF(COUNTIF($F11:I11,"KERJA")&lt;$E11,"KERJA","OFF TARGET")</f>
        <v>KERJA</v>
      </c>
      <c r="K11" s="183" t="str">
        <f>IF(COUNTIF($F11:J11,"KERJA")&lt;$E11,"KERJA","OFF TARGET")</f>
        <v>KERJA</v>
      </c>
      <c r="L11" s="183" t="s">
        <v>30</v>
      </c>
      <c r="M11" s="183" t="s">
        <v>50</v>
      </c>
      <c r="N11" s="183" t="str">
        <f>IF(COUNTIF($F11:M11,"KERJA")&lt;$E11,"KERJA","OFF TARGET")</f>
        <v>KERJA</v>
      </c>
      <c r="O11" s="183" t="str">
        <f>IF(COUNTIF($F11:N11,"KERJA")&lt;$E11,"KERJA","OFF TARGET")</f>
        <v>KERJA</v>
      </c>
      <c r="P11" s="183" t="str">
        <f>IF(COUNTIF($F11:O11,"KERJA")&lt;$E11,"KERJA","OFF TARGET")</f>
        <v>KERJA</v>
      </c>
      <c r="Q11" s="183" t="str">
        <f>IF(COUNTIF($F11:P11,"KERJA")&lt;$E11,"KERJA","OFF TARGET")</f>
        <v>KERJA</v>
      </c>
      <c r="R11" s="183" t="str">
        <f>IF(COUNTIF($F11:Q11,"KERJA")&lt;$E11,"KERJA","OFF TARGET")</f>
        <v>OFF TARGET</v>
      </c>
      <c r="S11" s="183" t="s">
        <v>30</v>
      </c>
      <c r="T11" s="183">
        <f t="shared" si="2"/>
        <v>24</v>
      </c>
      <c r="U11" s="183">
        <f t="shared" si="3"/>
        <v>0</v>
      </c>
      <c r="V11" s="183" t="str">
        <f t="shared" si="4"/>
        <v>TARGET 24 HK TERCAPAI</v>
      </c>
    </row>
    <row r="12" spans="1:22" ht="30">
      <c r="A12" s="183" t="s">
        <v>163</v>
      </c>
      <c r="B12" s="183" t="s">
        <v>62</v>
      </c>
      <c r="C12" s="183">
        <f>COUNTIF('Daily Report &amp; WIP'!Y83:Y99,1)</f>
        <v>14</v>
      </c>
      <c r="D12" s="183">
        <v>24</v>
      </c>
      <c r="E12" s="183">
        <f t="shared" si="0"/>
        <v>10</v>
      </c>
      <c r="F12" s="183" t="str">
        <f t="shared" si="1"/>
        <v>KERJA</v>
      </c>
      <c r="G12" s="183" t="str">
        <f>IF(COUNTIF($F12:F12,"KERJA")&lt;$E12,"KERJA","OFF TARGET")</f>
        <v>KERJA</v>
      </c>
      <c r="H12" s="183" t="s">
        <v>30</v>
      </c>
      <c r="I12" s="183" t="str">
        <f>IF(COUNTIF($F12:H12,"KERJA")&lt;$E12,"KERJA","OFF TARGET")</f>
        <v>KERJA</v>
      </c>
      <c r="J12" s="183" t="str">
        <f>IF(COUNTIF($F12:I12,"KERJA")&lt;$E12,"KERJA","OFF TARGET")</f>
        <v>KERJA</v>
      </c>
      <c r="K12" s="183" t="str">
        <f>IF(COUNTIF($F12:J12,"KERJA")&lt;$E12,"KERJA","OFF TARGET")</f>
        <v>KERJA</v>
      </c>
      <c r="L12" s="183" t="str">
        <f>IF(COUNTIF($F12:K12,"KERJA")&lt;$E12,"KERJA","OFF TARGET")</f>
        <v>KERJA</v>
      </c>
      <c r="M12" s="183" t="s">
        <v>50</v>
      </c>
      <c r="N12" s="183" t="str">
        <f>IF(COUNTIF($F12:M12,"KERJA")&lt;$E12,"KERJA","OFF TARGET")</f>
        <v>KERJA</v>
      </c>
      <c r="O12" s="183" t="s">
        <v>30</v>
      </c>
      <c r="P12" s="183" t="str">
        <f>IF(COUNTIF($F12:O12,"KERJA")&lt;$E12,"KERJA","OFF TARGET")</f>
        <v>KERJA</v>
      </c>
      <c r="Q12" s="183" t="str">
        <f>IF(COUNTIF($F12:P12,"KERJA")&lt;$E12,"KERJA","OFF TARGET")</f>
        <v>KERJA</v>
      </c>
      <c r="R12" s="183" t="str">
        <f>IF(COUNTIF($F12:Q12,"KERJA")&lt;$E12,"KERJA","OFF TARGET")</f>
        <v>KERJA</v>
      </c>
      <c r="S12" s="183" t="str">
        <f>IF(COUNTIF($F12:R12,"KERJA")&lt;$E12,"KERJA","OFF TARGET")</f>
        <v>OFF TARGET</v>
      </c>
      <c r="T12" s="183">
        <f t="shared" si="2"/>
        <v>24</v>
      </c>
      <c r="U12" s="183">
        <f t="shared" si="3"/>
        <v>0</v>
      </c>
      <c r="V12" s="183" t="str">
        <f t="shared" si="4"/>
        <v>TARGET 24 HK TERCAPAI</v>
      </c>
    </row>
    <row r="13" spans="1:22">
      <c r="A13" s="183" t="s">
        <v>71</v>
      </c>
      <c r="B13" s="183" t="s">
        <v>73</v>
      </c>
      <c r="C13" s="183">
        <f>COUNTIF('Daily Report &amp; WIP'!T40:T56,1)</f>
        <v>12</v>
      </c>
      <c r="D13" s="183">
        <v>24</v>
      </c>
      <c r="E13" s="183">
        <f t="shared" si="0"/>
        <v>12</v>
      </c>
      <c r="F13" s="183" t="str">
        <f t="shared" si="1"/>
        <v>KERJA</v>
      </c>
      <c r="G13" s="183" t="str">
        <f>IF(COUNTIF($F13:F13,"KERJA")&lt;$E13,"KERJA","OFF TARGET")</f>
        <v>KERJA</v>
      </c>
      <c r="H13" s="183" t="str">
        <f>IF(COUNTIF($F13:G13,"KERJA")&lt;$E13,"KERJA","OFF TARGET")</f>
        <v>KERJA</v>
      </c>
      <c r="I13" s="183" t="str">
        <f>IF(COUNTIF($F13:H13,"KERJA")&lt;$E13,"KERJA","OFF TARGET")</f>
        <v>KERJA</v>
      </c>
      <c r="J13" s="183" t="str">
        <f>IF(COUNTIF($F13:I13,"KERJA")&lt;$E13,"KERJA","OFF TARGET")</f>
        <v>KERJA</v>
      </c>
      <c r="K13" s="183" t="s">
        <v>30</v>
      </c>
      <c r="L13" s="183" t="str">
        <f>IF(COUNTIF($F13:K13,"KERJA")&lt;$E13,"KERJA","OFF TARGET")</f>
        <v>KERJA</v>
      </c>
      <c r="M13" s="183" t="s">
        <v>50</v>
      </c>
      <c r="N13" s="183" t="str">
        <f>IF(COUNTIF($F13:M13,"KERJA")&lt;$E13,"KERJA","OFF TARGET")</f>
        <v>KERJA</v>
      </c>
      <c r="O13" s="183" t="str">
        <f>IF(COUNTIF($F13:N13,"KERJA")&lt;$E13,"KERJA","OFF TARGET")</f>
        <v>KERJA</v>
      </c>
      <c r="P13" s="183" t="str">
        <f>IF(COUNTIF($F13:O13,"KERJA")&lt;$E13,"KERJA","OFF TARGET")</f>
        <v>KERJA</v>
      </c>
      <c r="Q13" s="183" t="str">
        <f>IF(COUNTIF($F13:P13,"KERJA")&lt;$E13,"KERJA","OFF TARGET")</f>
        <v>KERJA</v>
      </c>
      <c r="R13" s="183" t="s">
        <v>30</v>
      </c>
      <c r="S13" s="183" t="str">
        <f>IF(COUNTIF($F13:R13,"KERJA")&lt;$E13,"KERJA","OFF TARGET")</f>
        <v>KERJA</v>
      </c>
      <c r="T13" s="183">
        <f t="shared" si="2"/>
        <v>23</v>
      </c>
      <c r="U13" s="183">
        <f t="shared" si="3"/>
        <v>1</v>
      </c>
      <c r="V13" s="183" t="str">
        <f t="shared" si="4"/>
        <v>MASIH KURANG 1 HK</v>
      </c>
    </row>
    <row r="14" spans="1:22" ht="30">
      <c r="A14" s="183" t="s">
        <v>71</v>
      </c>
      <c r="B14" s="183" t="s">
        <v>167</v>
      </c>
      <c r="C14" s="183">
        <f>COUNTIF('Daily Report &amp; WIP'!Y40:Y56,1)</f>
        <v>13</v>
      </c>
      <c r="D14" s="183">
        <v>24</v>
      </c>
      <c r="E14" s="183">
        <f t="shared" si="0"/>
        <v>11</v>
      </c>
      <c r="F14" s="183" t="str">
        <f t="shared" si="1"/>
        <v>KERJA</v>
      </c>
      <c r="G14" s="183" t="str">
        <f>IF(COUNTIF($F14:F14,"KERJA")&lt;$E14,"KERJA","OFF TARGET")</f>
        <v>KERJA</v>
      </c>
      <c r="H14" s="183" t="str">
        <f>IF(COUNTIF($F14:G14,"KERJA")&lt;$E14,"KERJA","OFF TARGET")</f>
        <v>KERJA</v>
      </c>
      <c r="I14" s="183" t="str">
        <f>IF(COUNTIF($F14:H14,"KERJA")&lt;$E14,"KERJA","OFF TARGET")</f>
        <v>KERJA</v>
      </c>
      <c r="J14" s="183" t="str">
        <f>IF(COUNTIF($F14:I14,"KERJA")&lt;$E14,"KERJA","OFF TARGET")</f>
        <v>KERJA</v>
      </c>
      <c r="K14" s="183" t="s">
        <v>30</v>
      </c>
      <c r="L14" s="183" t="str">
        <f>IF(COUNTIF($F14:K14,"KERJA")&lt;$E14,"KERJA","OFF TARGET")</f>
        <v>KERJA</v>
      </c>
      <c r="M14" s="183" t="s">
        <v>50</v>
      </c>
      <c r="N14" s="183" t="str">
        <f>IF(COUNTIF($F14:M14,"KERJA")&lt;$E14,"KERJA","OFF TARGET")</f>
        <v>KERJA</v>
      </c>
      <c r="O14" s="183" t="str">
        <f>IF(COUNTIF($F14:N14,"KERJA")&lt;$E14,"KERJA","OFF TARGET")</f>
        <v>KERJA</v>
      </c>
      <c r="P14" s="183" t="str">
        <f>IF(COUNTIF($F14:O14,"KERJA")&lt;$E14,"KERJA","OFF TARGET")</f>
        <v>KERJA</v>
      </c>
      <c r="Q14" s="183" t="str">
        <f>IF(COUNTIF($F14:P14,"KERJA")&lt;$E14,"KERJA","OFF TARGET")</f>
        <v>KERJA</v>
      </c>
      <c r="R14" s="183" t="s">
        <v>30</v>
      </c>
      <c r="S14" s="183" t="str">
        <f>IF(COUNTIF($F14:R14,"KERJA")&lt;$E14,"KERJA","OFF TARGET")</f>
        <v>KERJA</v>
      </c>
      <c r="T14" s="183">
        <f t="shared" si="2"/>
        <v>24</v>
      </c>
      <c r="U14" s="183">
        <f t="shared" si="3"/>
        <v>0</v>
      </c>
      <c r="V14" s="183" t="str">
        <f t="shared" si="4"/>
        <v>TARGET 24 HK TERCAPAI</v>
      </c>
    </row>
    <row r="15" spans="1:22" ht="30">
      <c r="A15" s="241" t="s">
        <v>112</v>
      </c>
      <c r="B15" s="183" t="s">
        <v>114</v>
      </c>
      <c r="C15" s="183">
        <f>COUNTIF('Daily Report &amp; WIP'!T119:T135,1)</f>
        <v>14</v>
      </c>
      <c r="D15" s="183">
        <v>24</v>
      </c>
      <c r="E15" s="183">
        <f t="shared" si="0"/>
        <v>10</v>
      </c>
      <c r="F15" s="183" t="str">
        <f t="shared" si="1"/>
        <v>KERJA</v>
      </c>
      <c r="G15" s="183" t="str">
        <f>IF(COUNTIF($F15:F15,"KERJA")&lt;$E15,"KERJA","OFF TARGET")</f>
        <v>KERJA</v>
      </c>
      <c r="H15" s="183" t="str">
        <f>IF(COUNTIF($F15:G15,"KERJA")&lt;$E15,"KERJA","OFF TARGET")</f>
        <v>KERJA</v>
      </c>
      <c r="I15" s="183" t="str">
        <f>IF(COUNTIF($F15:H15,"KERJA")&lt;$E15,"KERJA","OFF TARGET")</f>
        <v>KERJA</v>
      </c>
      <c r="J15" s="183" t="str">
        <f>IF(COUNTIF($F15:I15,"KERJA")&lt;$E15,"KERJA","OFF TARGET")</f>
        <v>KERJA</v>
      </c>
      <c r="K15" s="183" t="s">
        <v>30</v>
      </c>
      <c r="L15" s="183" t="str">
        <f>IF(COUNTIF($F15:K15,"KERJA")&lt;$E15,"KERJA","OFF TARGET")</f>
        <v>KERJA</v>
      </c>
      <c r="M15" s="183" t="s">
        <v>50</v>
      </c>
      <c r="N15" s="183" t="str">
        <f>IF(COUNTIF($F15:M15,"KERJA")&lt;$E15,"KERJA","OFF TARGET")</f>
        <v>KERJA</v>
      </c>
      <c r="O15" s="183" t="str">
        <f>IF(COUNTIF($F15:N15,"KERJA")&lt;$E15,"KERJA","OFF TARGET")</f>
        <v>KERJA</v>
      </c>
      <c r="P15" s="183" t="str">
        <f>IF(COUNTIF($F15:O15,"KERJA")&lt;$E15,"KERJA","OFF TARGET")</f>
        <v>KERJA</v>
      </c>
      <c r="Q15" s="183" t="str">
        <f>IF(COUNTIF($F15:P15,"KERJA")&lt;$E15,"KERJA","OFF TARGET")</f>
        <v>KERJA</v>
      </c>
      <c r="R15" s="183" t="s">
        <v>30</v>
      </c>
      <c r="S15" s="183" t="str">
        <f>IF(COUNTIF($F15:R15,"KERJA")&lt;$E15,"KERJA","OFF TARGET")</f>
        <v>OFF TARGET</v>
      </c>
      <c r="T15" s="183">
        <f t="shared" si="2"/>
        <v>24</v>
      </c>
      <c r="U15" s="183">
        <f t="shared" si="3"/>
        <v>0</v>
      </c>
      <c r="V15" s="183" t="str">
        <f t="shared" si="4"/>
        <v>TARGET 24 HK TERCAPAI</v>
      </c>
    </row>
    <row r="16" spans="1:22">
      <c r="A16" s="241" t="s">
        <v>112</v>
      </c>
      <c r="B16" s="183" t="s">
        <v>434</v>
      </c>
      <c r="C16" s="183">
        <f>COUNTIF('Daily Report &amp; WIP'!Y119:Y135,1)</f>
        <v>11</v>
      </c>
      <c r="D16" s="183">
        <v>24</v>
      </c>
      <c r="E16" s="183">
        <f t="shared" si="0"/>
        <v>13</v>
      </c>
      <c r="F16" s="183" t="str">
        <f t="shared" si="1"/>
        <v>KERJA</v>
      </c>
      <c r="G16" s="183" t="str">
        <f>IF(COUNTIF($F16:F16,"KERJA")&lt;$E16,"KERJA","OFF TARGET")</f>
        <v>KERJA</v>
      </c>
      <c r="H16" s="183" t="str">
        <f>IF(COUNTIF($F16:G16,"KERJA")&lt;$E16,"KERJA","OFF TARGET")</f>
        <v>KERJA</v>
      </c>
      <c r="I16" s="183" t="str">
        <f>IF(COUNTIF($F16:H16,"KERJA")&lt;$E16,"KERJA","OFF TARGET")</f>
        <v>KERJA</v>
      </c>
      <c r="J16" s="183" t="str">
        <f>IF(COUNTIF($F16:I16,"KERJA")&lt;$E16,"KERJA","OFF TARGET")</f>
        <v>KERJA</v>
      </c>
      <c r="K16" s="183" t="s">
        <v>30</v>
      </c>
      <c r="L16" s="183" t="str">
        <f>IF(COUNTIF($F16:K16,"KERJA")&lt;$E16,"KERJA","OFF TARGET")</f>
        <v>KERJA</v>
      </c>
      <c r="M16" s="183" t="s">
        <v>50</v>
      </c>
      <c r="N16" s="183" t="str">
        <f>IF(COUNTIF($F16:M16,"KERJA")&lt;$E16,"KERJA","OFF TARGET")</f>
        <v>KERJA</v>
      </c>
      <c r="O16" s="183" t="str">
        <f>IF(COUNTIF($F16:N16,"KERJA")&lt;$E16,"KERJA","OFF TARGET")</f>
        <v>KERJA</v>
      </c>
      <c r="P16" s="183" t="str">
        <f>IF(COUNTIF($F16:O16,"KERJA")&lt;$E16,"KERJA","OFF TARGET")</f>
        <v>KERJA</v>
      </c>
      <c r="Q16" s="183" t="str">
        <f>IF(COUNTIF($F16:P16,"KERJA")&lt;$E16,"KERJA","OFF TARGET")</f>
        <v>KERJA</v>
      </c>
      <c r="R16" s="183" t="s">
        <v>30</v>
      </c>
      <c r="S16" s="183" t="str">
        <f>IF(COUNTIF($F16:R16,"KERJA")&lt;$E16,"KERJA","OFF TARGET")</f>
        <v>KERJA</v>
      </c>
      <c r="T16" s="183">
        <f t="shared" si="2"/>
        <v>22</v>
      </c>
      <c r="U16" s="183">
        <f t="shared" si="3"/>
        <v>2</v>
      </c>
      <c r="V16" s="183" t="str">
        <f t="shared" si="4"/>
        <v>MASIH KURANG 2 HK</v>
      </c>
    </row>
    <row r="17" spans="1:22" ht="30">
      <c r="A17" s="241" t="s">
        <v>112</v>
      </c>
      <c r="B17" s="183" t="s">
        <v>119</v>
      </c>
      <c r="C17" s="183">
        <f>COUNTIF('Daily Report &amp; WIP'!AD119:AD135,1)</f>
        <v>13</v>
      </c>
      <c r="D17" s="183">
        <v>24</v>
      </c>
      <c r="E17" s="183">
        <f t="shared" si="0"/>
        <v>11</v>
      </c>
      <c r="F17" s="183" t="str">
        <f t="shared" si="1"/>
        <v>KERJA</v>
      </c>
      <c r="G17" s="183" t="str">
        <f>IF(COUNTIF($F17:F17,"KERJA")&lt;$E17,"KERJA","OFF TARGET")</f>
        <v>KERJA</v>
      </c>
      <c r="H17" s="183" t="str">
        <f>IF(COUNTIF($F17:G17,"KERJA")&lt;$E17,"KERJA","OFF TARGET")</f>
        <v>KERJA</v>
      </c>
      <c r="I17" s="183" t="str">
        <f>IF(COUNTIF($F17:H17,"KERJA")&lt;$E17,"KERJA","OFF TARGET")</f>
        <v>KERJA</v>
      </c>
      <c r="J17" s="183" t="str">
        <f>IF(COUNTIF($F17:I17,"KERJA")&lt;$E17,"KERJA","OFF TARGET")</f>
        <v>KERJA</v>
      </c>
      <c r="K17" s="183" t="s">
        <v>30</v>
      </c>
      <c r="L17" s="183" t="str">
        <f>IF(COUNTIF($F17:K17,"KERJA")&lt;$E17,"KERJA","OFF TARGET")</f>
        <v>KERJA</v>
      </c>
      <c r="M17" s="183" t="s">
        <v>50</v>
      </c>
      <c r="N17" s="183" t="str">
        <f>IF(COUNTIF($F17:M17,"KERJA")&lt;$E17,"KERJA","OFF TARGET")</f>
        <v>KERJA</v>
      </c>
      <c r="O17" s="183" t="str">
        <f>IF(COUNTIF($F17:N17,"KERJA")&lt;$E17,"KERJA","OFF TARGET")</f>
        <v>KERJA</v>
      </c>
      <c r="P17" s="183" t="str">
        <f>IF(COUNTIF($F17:O17,"KERJA")&lt;$E17,"KERJA","OFF TARGET")</f>
        <v>KERJA</v>
      </c>
      <c r="Q17" s="183" t="str">
        <f>IF(COUNTIF($F17:P17,"KERJA")&lt;$E17,"KERJA","OFF TARGET")</f>
        <v>KERJA</v>
      </c>
      <c r="R17" s="183" t="s">
        <v>30</v>
      </c>
      <c r="S17" s="183" t="str">
        <f>IF(COUNTIF($F17:R17,"KERJA")&lt;$E17,"KERJA","OFF TARGET")</f>
        <v>KERJA</v>
      </c>
      <c r="T17" s="183">
        <f t="shared" si="2"/>
        <v>24</v>
      </c>
      <c r="U17" s="183">
        <f t="shared" si="3"/>
        <v>0</v>
      </c>
      <c r="V17" s="183" t="str">
        <f t="shared" si="4"/>
        <v>TARGET 24 HK TERCAPAI</v>
      </c>
    </row>
    <row r="18" spans="1:22">
      <c r="A18" s="241" t="s">
        <v>95</v>
      </c>
      <c r="B18" s="183" t="s">
        <v>97</v>
      </c>
      <c r="C18" s="183">
        <f>COUNTIF('Daily Report &amp; WIP'!AD83:AD99,1)</f>
        <v>12</v>
      </c>
      <c r="D18" s="183">
        <v>24</v>
      </c>
      <c r="E18" s="183">
        <f t="shared" si="0"/>
        <v>12</v>
      </c>
      <c r="F18" s="183" t="str">
        <f t="shared" si="1"/>
        <v>KERJA</v>
      </c>
      <c r="G18" s="183" t="str">
        <f>IF(COUNTIF($F18:F18,"KERJA")&lt;$E18,"KERJA","OFF TARGET")</f>
        <v>KERJA</v>
      </c>
      <c r="H18" s="183" t="str">
        <f>IF(COUNTIF($F18:G18,"KERJA")&lt;$E18,"KERJA","OFF TARGET")</f>
        <v>KERJA</v>
      </c>
      <c r="I18" s="183" t="str">
        <f>IF(COUNTIF($F18:H18,"KERJA")&lt;$E18,"KERJA","OFF TARGET")</f>
        <v>KERJA</v>
      </c>
      <c r="J18" s="183" t="str">
        <f>IF(COUNTIF($F18:I18,"KERJA")&lt;$E18,"KERJA","OFF TARGET")</f>
        <v>KERJA</v>
      </c>
      <c r="K18" s="183" t="s">
        <v>30</v>
      </c>
      <c r="L18" s="183" t="str">
        <f>IF(COUNTIF($F18:K18,"KERJA")&lt;$E18,"KERJA","OFF TARGET")</f>
        <v>KERJA</v>
      </c>
      <c r="M18" s="183" t="s">
        <v>50</v>
      </c>
      <c r="N18" s="183" t="str">
        <f>IF(COUNTIF($F18:M18,"KERJA")&lt;$E18,"KERJA","OFF TARGET")</f>
        <v>KERJA</v>
      </c>
      <c r="O18" s="183" t="str">
        <f>IF(COUNTIF($F18:N18,"KERJA")&lt;$E18,"KERJA","OFF TARGET")</f>
        <v>KERJA</v>
      </c>
      <c r="P18" s="183" t="str">
        <f>IF(COUNTIF($F18:O18,"KERJA")&lt;$E18,"KERJA","OFF TARGET")</f>
        <v>KERJA</v>
      </c>
      <c r="Q18" s="183" t="str">
        <f>IF(COUNTIF($F18:P18,"KERJA")&lt;$E18,"KERJA","OFF TARGET")</f>
        <v>KERJA</v>
      </c>
      <c r="R18" s="183" t="s">
        <v>30</v>
      </c>
      <c r="S18" s="183" t="str">
        <f>IF(COUNTIF($F18:R18,"KERJA")&lt;$E18,"KERJA","OFF TARGET")</f>
        <v>KERJA</v>
      </c>
      <c r="T18" s="183">
        <f t="shared" si="2"/>
        <v>23</v>
      </c>
      <c r="U18" s="183">
        <f t="shared" si="3"/>
        <v>1</v>
      </c>
      <c r="V18" s="183" t="str">
        <f t="shared" si="4"/>
        <v>MASIH KURANG 1 HK</v>
      </c>
    </row>
    <row r="19" spans="1:22" ht="30">
      <c r="A19" s="241" t="s">
        <v>95</v>
      </c>
      <c r="B19" s="183" t="s">
        <v>99</v>
      </c>
      <c r="C19" s="183">
        <f>COUNTIF('Daily Report &amp; WIP'!AI83:AI99,1)</f>
        <v>13</v>
      </c>
      <c r="D19" s="183">
        <v>24</v>
      </c>
      <c r="E19" s="183">
        <f t="shared" si="0"/>
        <v>11</v>
      </c>
      <c r="F19" s="183" t="str">
        <f t="shared" si="1"/>
        <v>KERJA</v>
      </c>
      <c r="G19" s="183" t="str">
        <f>IF(COUNTIF($F19:F19,"KERJA")&lt;$E19,"KERJA","OFF TARGET")</f>
        <v>KERJA</v>
      </c>
      <c r="H19" s="183" t="str">
        <f>IF(COUNTIF($F19:G19,"KERJA")&lt;$E19,"KERJA","OFF TARGET")</f>
        <v>KERJA</v>
      </c>
      <c r="I19" s="183" t="str">
        <f>IF(COUNTIF($F19:H19,"KERJA")&lt;$E19,"KERJA","OFF TARGET")</f>
        <v>KERJA</v>
      </c>
      <c r="J19" s="183" t="str">
        <f>IF(COUNTIF($F19:I19,"KERJA")&lt;$E19,"KERJA","OFF TARGET")</f>
        <v>KERJA</v>
      </c>
      <c r="K19" s="183" t="s">
        <v>30</v>
      </c>
      <c r="L19" s="183" t="str">
        <f>IF(COUNTIF($F19:K19,"KERJA")&lt;$E19,"KERJA","OFF TARGET")</f>
        <v>KERJA</v>
      </c>
      <c r="M19" s="183" t="s">
        <v>50</v>
      </c>
      <c r="N19" s="183" t="str">
        <f>IF(COUNTIF($F19:M19,"KERJA")&lt;$E19,"KERJA","OFF TARGET")</f>
        <v>KERJA</v>
      </c>
      <c r="O19" s="183" t="str">
        <f>IF(COUNTIF($F19:N19,"KERJA")&lt;$E19,"KERJA","OFF TARGET")</f>
        <v>KERJA</v>
      </c>
      <c r="P19" s="183" t="str">
        <f>IF(COUNTIF($F19:O19,"KERJA")&lt;$E19,"KERJA","OFF TARGET")</f>
        <v>KERJA</v>
      </c>
      <c r="Q19" s="183" t="str">
        <f>IF(COUNTIF($F19:P19,"KERJA")&lt;$E19,"KERJA","OFF TARGET")</f>
        <v>KERJA</v>
      </c>
      <c r="R19" s="183" t="s">
        <v>30</v>
      </c>
      <c r="S19" s="183" t="str">
        <f>IF(COUNTIF($F19:R19,"KERJA")&lt;$E19,"KERJA","OFF TARGET")</f>
        <v>KERJA</v>
      </c>
      <c r="T19" s="183">
        <f t="shared" si="2"/>
        <v>24</v>
      </c>
      <c r="U19" s="183">
        <f t="shared" si="3"/>
        <v>0</v>
      </c>
      <c r="V19" s="183" t="str">
        <f t="shared" si="4"/>
        <v>TARGET 24 HK TERCAPAI</v>
      </c>
    </row>
  </sheetData>
  <mergeCells count="4">
    <mergeCell ref="A1:V1"/>
    <mergeCell ref="A2:V2"/>
    <mergeCell ref="A15:A17"/>
    <mergeCell ref="A18:A19"/>
  </mergeCells>
  <conditionalFormatting sqref="F5:S19">
    <cfRule type="expression" dxfId="15" priority="1">
      <formula>F5="KERJA"</formula>
    </cfRule>
    <cfRule type="expression" dxfId="14" priority="2">
      <formula>F5="OFF"</formula>
    </cfRule>
    <cfRule type="expression" dxfId="13" priority="3">
      <formula>F5="LIBUR"</formula>
    </cfRule>
    <cfRule type="expression" dxfId="12" priority="4">
      <formula>F5="OFF TARGET"</formula>
    </cfRule>
  </conditionalFormatting>
  <conditionalFormatting sqref="V5:V19">
    <cfRule type="expression" dxfId="11" priority="5">
      <formula>LEFT(V5,6)="TARGET"</formula>
    </cfRule>
    <cfRule type="expression" dxfId="10" priority="6">
      <formula>LEFT(V5,5)="MASIH"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52"/>
  <sheetViews>
    <sheetView workbookViewId="0">
      <selection activeCell="G14" sqref="G14"/>
    </sheetView>
  </sheetViews>
  <sheetFormatPr defaultRowHeight="15"/>
  <cols>
    <col min="1" max="1" width="16" customWidth="1"/>
    <col min="2" max="2" width="18" customWidth="1"/>
    <col min="3" max="4" width="11" customWidth="1"/>
    <col min="5" max="5" width="13" customWidth="1"/>
    <col min="6" max="6" width="10" customWidth="1"/>
    <col min="7" max="7" width="14" customWidth="1"/>
    <col min="8" max="8" width="15" customWidth="1"/>
    <col min="9" max="9" width="11" customWidth="1"/>
    <col min="10" max="10" width="14" customWidth="1"/>
    <col min="11" max="11" width="14.42578125" customWidth="1"/>
    <col min="12" max="12" width="12.85546875" customWidth="1"/>
    <col min="13" max="13" width="11.7109375" customWidth="1"/>
    <col min="14" max="14" width="12.85546875" customWidth="1"/>
    <col min="15" max="15" width="10.7109375" customWidth="1"/>
    <col min="17" max="17" width="10.28515625" customWidth="1"/>
    <col min="18" max="18" width="20.7109375" customWidth="1"/>
    <col min="19" max="19" width="11.28515625" customWidth="1"/>
    <col min="20" max="20" width="15.28515625" customWidth="1"/>
    <col min="23" max="23" width="12.5703125" customWidth="1"/>
    <col min="24" max="24" width="18" customWidth="1"/>
    <col min="26" max="26" width="11.28515625" customWidth="1"/>
    <col min="27" max="27" width="12.42578125" customWidth="1"/>
    <col min="28" max="28" width="11.7109375" customWidth="1"/>
    <col min="29" max="29" width="12.85546875" customWidth="1"/>
    <col min="30" max="30" width="10.7109375" customWidth="1"/>
    <col min="31" max="31" width="7.140625" customWidth="1"/>
    <col min="32" max="32" width="14.85546875" customWidth="1"/>
    <col min="33" max="33" width="20.7109375" customWidth="1"/>
    <col min="34" max="34" width="11.28515625" customWidth="1"/>
    <col min="35" max="35" width="14.42578125" customWidth="1"/>
    <col min="36" max="36" width="20.140625" customWidth="1"/>
    <col min="37" max="38" width="19" customWidth="1"/>
    <col min="39" max="39" width="11.28515625" customWidth="1"/>
    <col min="40" max="40" width="13.42578125" customWidth="1"/>
    <col min="41" max="41" width="22.85546875" customWidth="1"/>
    <col min="42" max="42" width="18.28515625" customWidth="1"/>
    <col min="43" max="43" width="12.85546875" customWidth="1"/>
    <col min="44" max="44" width="10.7109375" customWidth="1"/>
    <col min="45" max="45" width="12.42578125" customWidth="1"/>
    <col min="46" max="47" width="20.7109375" customWidth="1"/>
    <col min="48" max="48" width="14.42578125" customWidth="1"/>
    <col min="49" max="49" width="15.28515625" customWidth="1"/>
  </cols>
  <sheetData>
    <row r="1" spans="1:10" ht="24" customHeight="1">
      <c r="A1" s="277" t="s">
        <v>445</v>
      </c>
      <c r="B1" s="278"/>
      <c r="C1" s="278"/>
      <c r="D1" s="278"/>
      <c r="E1" s="278"/>
      <c r="F1" s="278"/>
      <c r="G1" s="278"/>
      <c r="H1" s="278"/>
      <c r="I1" s="278"/>
      <c r="J1" s="279"/>
    </row>
    <row r="3" spans="1:10" ht="27.95" customHeight="1">
      <c r="A3" s="187" t="s">
        <v>9</v>
      </c>
      <c r="B3" s="187" t="s">
        <v>153</v>
      </c>
      <c r="C3" s="187" t="s">
        <v>446</v>
      </c>
      <c r="D3" s="187" t="s">
        <v>441</v>
      </c>
      <c r="E3" s="187" t="s">
        <v>447</v>
      </c>
      <c r="F3" s="187" t="s">
        <v>410</v>
      </c>
      <c r="G3" s="187" t="s">
        <v>418</v>
      </c>
      <c r="H3" s="187" t="s">
        <v>448</v>
      </c>
      <c r="I3" s="187" t="s">
        <v>449</v>
      </c>
      <c r="J3" s="187" t="s">
        <v>450</v>
      </c>
    </row>
    <row r="4" spans="1:10">
      <c r="A4" s="210" t="s">
        <v>26</v>
      </c>
      <c r="B4" s="210" t="s">
        <v>429</v>
      </c>
      <c r="C4" s="210">
        <f>'Daily Report &amp; WIP'!AP6</f>
        <v>12</v>
      </c>
      <c r="D4" s="210">
        <f>'Daily Report &amp; WIP'!AO6</f>
        <v>24</v>
      </c>
      <c r="E4" s="211">
        <f>'Daily Report &amp; WIP'!BB6</f>
        <v>0.25185185185185183</v>
      </c>
      <c r="F4" s="211">
        <f>'Daily Report &amp; WIP'!BE6</f>
        <v>0.41607843137254902</v>
      </c>
      <c r="G4" s="211">
        <f>'Daily Report &amp; WIP'!BM6</f>
        <v>0.27</v>
      </c>
      <c r="H4" s="212">
        <f>'Daily Report &amp; WIP'!BH6</f>
        <v>8.4166666666666661</v>
      </c>
      <c r="I4" s="210" t="str">
        <f t="shared" ref="I4:I18" si="0">IF(OR(F4&gt;G4+5%,H4&gt;8),"MERAH",IF(OR(F4&gt;G4,H4&gt;5),"KUNING","HIJAU"))</f>
        <v>MERAH</v>
      </c>
      <c r="J4" s="210" t="str">
        <f t="shared" ref="J4:J18" si="1">IF(E4&gt;=1,"TERCAPAI","KEJAR TARGET")</f>
        <v>KEJAR TARGET</v>
      </c>
    </row>
    <row r="5" spans="1:10">
      <c r="A5" s="210" t="s">
        <v>26</v>
      </c>
      <c r="B5" s="210" t="s">
        <v>35</v>
      </c>
      <c r="C5" s="210">
        <f>'Daily Report &amp; WIP'!AP7</f>
        <v>12</v>
      </c>
      <c r="D5" s="210">
        <f>'Daily Report &amp; WIP'!AO7</f>
        <v>24</v>
      </c>
      <c r="E5" s="211">
        <f>'Daily Report &amp; WIP'!BB7</f>
        <v>0.47407407407407409</v>
      </c>
      <c r="F5" s="211">
        <f>'Daily Report &amp; WIP'!BE7</f>
        <v>0.22152240104393214</v>
      </c>
      <c r="G5" s="211">
        <f>'Daily Report &amp; WIP'!BM7</f>
        <v>0.27</v>
      </c>
      <c r="H5" s="212">
        <f>'Daily Report &amp; WIP'!BH7</f>
        <v>5.916666666666667</v>
      </c>
      <c r="I5" s="210" t="str">
        <f t="shared" si="0"/>
        <v>KUNING</v>
      </c>
      <c r="J5" s="210" t="str">
        <f t="shared" si="1"/>
        <v>KEJAR TARGET</v>
      </c>
    </row>
    <row r="6" spans="1:10">
      <c r="A6" s="210" t="s">
        <v>26</v>
      </c>
      <c r="B6" s="210" t="s">
        <v>32</v>
      </c>
      <c r="C6" s="210">
        <f>'Daily Report &amp; WIP'!AP8</f>
        <v>13</v>
      </c>
      <c r="D6" s="210">
        <f>'Daily Report &amp; WIP'!AO8</f>
        <v>24</v>
      </c>
      <c r="E6" s="211">
        <f>'Daily Report &amp; WIP'!BB8</f>
        <v>0.3925925925925926</v>
      </c>
      <c r="F6" s="211">
        <f>'Daily Report &amp; WIP'!BE8</f>
        <v>0.28916142557651991</v>
      </c>
      <c r="G6" s="211">
        <f>'Daily Report &amp; WIP'!BM8</f>
        <v>0.27</v>
      </c>
      <c r="H6" s="212">
        <f>'Daily Report &amp; WIP'!BH8</f>
        <v>7.4545454545454541</v>
      </c>
      <c r="I6" s="210" t="str">
        <f t="shared" si="0"/>
        <v>KUNING</v>
      </c>
      <c r="J6" s="210" t="str">
        <f t="shared" si="1"/>
        <v>KEJAR TARGET</v>
      </c>
    </row>
    <row r="7" spans="1:10">
      <c r="A7" s="210" t="s">
        <v>26</v>
      </c>
      <c r="B7" s="210" t="s">
        <v>38</v>
      </c>
      <c r="C7" s="210">
        <f>'Daily Report &amp; WIP'!AP9</f>
        <v>2</v>
      </c>
      <c r="D7" s="210">
        <f>'Daily Report &amp; WIP'!AO9</f>
        <v>24</v>
      </c>
      <c r="E7" s="211">
        <f>'Daily Report &amp; WIP'!BB9</f>
        <v>0.12222222222222222</v>
      </c>
      <c r="F7" s="211">
        <f>'Daily Report &amp; WIP'!BE9</f>
        <v>0.14146666666666666</v>
      </c>
      <c r="G7" s="211">
        <f>'Daily Report &amp; WIP'!BM9</f>
        <v>0.27</v>
      </c>
      <c r="H7" s="212">
        <f>'Daily Report &amp; WIP'!BH9</f>
        <v>5.3863636363636367</v>
      </c>
      <c r="I7" s="210" t="str">
        <f t="shared" si="0"/>
        <v>KUNING</v>
      </c>
      <c r="J7" s="210" t="str">
        <f t="shared" si="1"/>
        <v>KEJAR TARGET</v>
      </c>
    </row>
    <row r="8" spans="1:10">
      <c r="A8" s="210" t="s">
        <v>51</v>
      </c>
      <c r="B8" s="210" t="s">
        <v>55</v>
      </c>
      <c r="C8" s="210">
        <f>'Daily Report &amp; WIP'!AP11</f>
        <v>13</v>
      </c>
      <c r="D8" s="210">
        <f>'Daily Report &amp; WIP'!AO11</f>
        <v>24</v>
      </c>
      <c r="E8" s="211">
        <f>'Daily Report &amp; WIP'!BB11</f>
        <v>0.14814814814814814</v>
      </c>
      <c r="F8" s="211">
        <f>'Daily Report &amp; WIP'!BE11</f>
        <v>0.76260468490878941</v>
      </c>
      <c r="G8" s="211">
        <f>'Daily Report &amp; WIP'!BM11</f>
        <v>0.3</v>
      </c>
      <c r="H8" s="212">
        <f>'Daily Report &amp; WIP'!BH11</f>
        <v>10.454545454545455</v>
      </c>
      <c r="I8" s="210" t="str">
        <f t="shared" si="0"/>
        <v>MERAH</v>
      </c>
      <c r="J8" s="210" t="str">
        <f t="shared" si="1"/>
        <v>KEJAR TARGET</v>
      </c>
    </row>
    <row r="9" spans="1:10">
      <c r="A9" s="210" t="s">
        <v>51</v>
      </c>
      <c r="B9" s="210" t="s">
        <v>53</v>
      </c>
      <c r="C9" s="210">
        <f>'Daily Report &amp; WIP'!AP12</f>
        <v>14</v>
      </c>
      <c r="D9" s="210">
        <f>'Daily Report &amp; WIP'!AO12</f>
        <v>24</v>
      </c>
      <c r="E9" s="211">
        <f>'Daily Report &amp; WIP'!BB12</f>
        <v>0.2074074074074074</v>
      </c>
      <c r="F9" s="211">
        <f>'Daily Report &amp; WIP'!BE12</f>
        <v>0.60136460230722522</v>
      </c>
      <c r="G9" s="211">
        <f>'Daily Report &amp; WIP'!BM12</f>
        <v>0.3</v>
      </c>
      <c r="H9" s="212">
        <f>'Daily Report &amp; WIP'!BH12</f>
        <v>10.7</v>
      </c>
      <c r="I9" s="210" t="str">
        <f t="shared" si="0"/>
        <v>MERAH</v>
      </c>
      <c r="J9" s="210" t="str">
        <f t="shared" si="1"/>
        <v>KEJAR TARGET</v>
      </c>
    </row>
    <row r="10" spans="1:10">
      <c r="A10" s="210" t="s">
        <v>163</v>
      </c>
      <c r="B10" s="210" t="s">
        <v>59</v>
      </c>
      <c r="C10" s="210">
        <f>'Daily Report &amp; WIP'!AP14</f>
        <v>14</v>
      </c>
      <c r="D10" s="210">
        <f>'Daily Report &amp; WIP'!AO14</f>
        <v>24</v>
      </c>
      <c r="E10" s="211">
        <f>'Daily Report &amp; WIP'!BB14</f>
        <v>0.28858024691358025</v>
      </c>
      <c r="F10" s="211">
        <f>'Daily Report &amp; WIP'!BE14</f>
        <v>0.42957935916542472</v>
      </c>
      <c r="G10" s="211">
        <f>'Daily Report &amp; WIP'!BM14</f>
        <v>0.27</v>
      </c>
      <c r="H10" s="212">
        <f>'Daily Report &amp; WIP'!BH14</f>
        <v>9.6041666666666679</v>
      </c>
      <c r="I10" s="210" t="str">
        <f t="shared" si="0"/>
        <v>MERAH</v>
      </c>
      <c r="J10" s="210" t="str">
        <f t="shared" si="1"/>
        <v>KEJAR TARGET</v>
      </c>
    </row>
    <row r="11" spans="1:10">
      <c r="A11" s="210" t="s">
        <v>163</v>
      </c>
      <c r="B11" s="210" t="s">
        <v>62</v>
      </c>
      <c r="C11" s="210">
        <f>'Daily Report &amp; WIP'!AP15</f>
        <v>14</v>
      </c>
      <c r="D11" s="210">
        <f>'Daily Report &amp; WIP'!AO15</f>
        <v>24</v>
      </c>
      <c r="E11" s="211">
        <f>'Daily Report &amp; WIP'!BB15</f>
        <v>0.30740740740740741</v>
      </c>
      <c r="F11" s="211">
        <f>'Daily Report &amp; WIP'!BE15</f>
        <v>0.38587382864792502</v>
      </c>
      <c r="G11" s="211">
        <f>'Daily Report &amp; WIP'!BM15</f>
        <v>0.27</v>
      </c>
      <c r="H11" s="212">
        <f>'Daily Report &amp; WIP'!BH15</f>
        <v>9.35</v>
      </c>
      <c r="I11" s="210" t="str">
        <f t="shared" si="0"/>
        <v>MERAH</v>
      </c>
      <c r="J11" s="210" t="str">
        <f t="shared" si="1"/>
        <v>KEJAR TARGET</v>
      </c>
    </row>
    <row r="12" spans="1:10">
      <c r="A12" s="287" t="s">
        <v>71</v>
      </c>
      <c r="B12" s="210" t="s">
        <v>73</v>
      </c>
      <c r="C12" s="210">
        <f>'Daily Report &amp; WIP'!AP17</f>
        <v>13</v>
      </c>
      <c r="D12" s="210">
        <f>'Daily Report &amp; WIP'!AO17</f>
        <v>24</v>
      </c>
      <c r="E12" s="211">
        <f>'Daily Report &amp; WIP'!BB17</f>
        <v>0.26666666666666666</v>
      </c>
      <c r="F12" s="211">
        <f>'Daily Report &amp; WIP'!BE17</f>
        <v>0.40435879629629629</v>
      </c>
      <c r="G12" s="211">
        <f>'Daily Report &amp; WIP'!BM17</f>
        <v>0.3</v>
      </c>
      <c r="H12" s="212">
        <f>'Daily Report &amp; WIP'!BH17</f>
        <v>9</v>
      </c>
      <c r="I12" s="210" t="str">
        <f t="shared" si="0"/>
        <v>MERAH</v>
      </c>
      <c r="J12" s="210" t="str">
        <f t="shared" si="1"/>
        <v>KEJAR TARGET</v>
      </c>
    </row>
    <row r="13" spans="1:10">
      <c r="A13" s="287"/>
      <c r="B13" s="210" t="s">
        <v>167</v>
      </c>
      <c r="C13" s="210">
        <f>'Daily Report &amp; WIP'!AP18</f>
        <v>14</v>
      </c>
      <c r="D13" s="210">
        <f>'Daily Report &amp; WIP'!AO18</f>
        <v>24</v>
      </c>
      <c r="E13" s="211">
        <f>'Daily Report &amp; WIP'!BB18</f>
        <v>0.25185185185185183</v>
      </c>
      <c r="F13" s="211">
        <f>'Daily Report &amp; WIP'!BE18</f>
        <v>0.47839632237871677</v>
      </c>
      <c r="G13" s="211">
        <f>'Daily Report &amp; WIP'!BM18</f>
        <v>0.3</v>
      </c>
      <c r="H13" s="212">
        <f>'Daily Report &amp; WIP'!BH18</f>
        <v>10.1</v>
      </c>
      <c r="I13" s="210" t="str">
        <f t="shared" si="0"/>
        <v>MERAH</v>
      </c>
      <c r="J13" s="210" t="str">
        <f t="shared" si="1"/>
        <v>KEJAR TARGET</v>
      </c>
    </row>
    <row r="14" spans="1:10">
      <c r="A14" s="286" t="s">
        <v>112</v>
      </c>
      <c r="B14" s="210" t="s">
        <v>114</v>
      </c>
      <c r="C14" s="210">
        <f>'Daily Report &amp; WIP'!AP20</f>
        <v>16</v>
      </c>
      <c r="D14" s="210">
        <f>'Daily Report &amp; WIP'!AO20</f>
        <v>24</v>
      </c>
      <c r="E14" s="211">
        <f>'Daily Report &amp; WIP'!BB20</f>
        <v>0.15030864197530863</v>
      </c>
      <c r="F14" s="211">
        <f>'Daily Report &amp; WIP'!BE20</f>
        <v>0.89081267302368505</v>
      </c>
      <c r="G14" s="211">
        <f>'Daily Report &amp; WIP'!BM20</f>
        <v>0.3</v>
      </c>
      <c r="H14" s="212">
        <f>'Daily Report &amp; WIP'!BH20</f>
        <v>14.338541666666666</v>
      </c>
      <c r="I14" s="210" t="str">
        <f t="shared" si="0"/>
        <v>MERAH</v>
      </c>
      <c r="J14" s="210" t="str">
        <f t="shared" si="1"/>
        <v>KEJAR TARGET</v>
      </c>
    </row>
    <row r="15" spans="1:10">
      <c r="A15" s="286" t="s">
        <v>112</v>
      </c>
      <c r="B15" s="210" t="s">
        <v>434</v>
      </c>
      <c r="C15" s="210">
        <f>'Daily Report &amp; WIP'!AP21</f>
        <v>13</v>
      </c>
      <c r="D15" s="210">
        <f>'Daily Report &amp; WIP'!AO21</f>
        <v>24</v>
      </c>
      <c r="E15" s="211">
        <f>'Daily Report &amp; WIP'!BB21</f>
        <v>6.8827160493827158E-2</v>
      </c>
      <c r="F15" s="211">
        <f>'Daily Report &amp; WIP'!BE21</f>
        <v>1.9184883815735834</v>
      </c>
      <c r="G15" s="211">
        <f>'Daily Report &amp; WIP'!BM21</f>
        <v>0.3</v>
      </c>
      <c r="H15" s="212">
        <f>'Daily Report &amp; WIP'!BH21</f>
        <v>11.428030303030303</v>
      </c>
      <c r="I15" s="210" t="str">
        <f t="shared" si="0"/>
        <v>MERAH</v>
      </c>
      <c r="J15" s="210" t="str">
        <f t="shared" si="1"/>
        <v>KEJAR TARGET</v>
      </c>
    </row>
    <row r="16" spans="1:10">
      <c r="A16" s="286" t="s">
        <v>112</v>
      </c>
      <c r="B16" s="210" t="s">
        <v>119</v>
      </c>
      <c r="C16" s="210">
        <f>'Daily Report &amp; WIP'!AP22</f>
        <v>15</v>
      </c>
      <c r="D16" s="210">
        <f>'Daily Report &amp; WIP'!AO22</f>
        <v>24</v>
      </c>
      <c r="E16" s="211">
        <f>'Daily Report &amp; WIP'!BB22</f>
        <v>0.14660493827160495</v>
      </c>
      <c r="F16" s="211">
        <f>'Daily Report &amp; WIP'!BE22</f>
        <v>0.88630888257761242</v>
      </c>
      <c r="G16" s="211">
        <f>'Daily Report &amp; WIP'!BM22</f>
        <v>0.3</v>
      </c>
      <c r="H16" s="212">
        <f>'Daily Report &amp; WIP'!BH22</f>
        <v>12.800925925925926</v>
      </c>
      <c r="I16" s="210" t="str">
        <f t="shared" si="0"/>
        <v>MERAH</v>
      </c>
      <c r="J16" s="210" t="str">
        <f t="shared" si="1"/>
        <v>KEJAR TARGET</v>
      </c>
    </row>
    <row r="17" spans="1:35">
      <c r="A17" s="286" t="s">
        <v>95</v>
      </c>
      <c r="B17" s="210" t="s">
        <v>97</v>
      </c>
      <c r="C17" s="210">
        <f>'Daily Report &amp; WIP'!AP24</f>
        <v>13</v>
      </c>
      <c r="D17" s="210">
        <f>'Daily Report &amp; WIP'!AO24</f>
        <v>24</v>
      </c>
      <c r="E17" s="211">
        <f>'Daily Report &amp; WIP'!BB24</f>
        <v>0.11666666666666667</v>
      </c>
      <c r="F17" s="211">
        <f>'Daily Report &amp; WIP'!BE24</f>
        <v>0.9712198581560284</v>
      </c>
      <c r="G17" s="211">
        <f>'Daily Report &amp; WIP'!BM24</f>
        <v>0.3</v>
      </c>
      <c r="H17" s="212">
        <f>'Daily Report &amp; WIP'!BH24</f>
        <v>10.840909090909092</v>
      </c>
      <c r="I17" s="210" t="str">
        <f t="shared" si="0"/>
        <v>MERAH</v>
      </c>
      <c r="J17" s="210" t="str">
        <f t="shared" si="1"/>
        <v>KEJAR TARGET</v>
      </c>
    </row>
    <row r="18" spans="1:35">
      <c r="A18" s="286" t="s">
        <v>95</v>
      </c>
      <c r="B18" s="210" t="s">
        <v>99</v>
      </c>
      <c r="C18" s="210">
        <f>'Daily Report &amp; WIP'!AP25</f>
        <v>13</v>
      </c>
      <c r="D18" s="210">
        <f>'Daily Report &amp; WIP'!AO25</f>
        <v>24</v>
      </c>
      <c r="E18" s="211">
        <f>'Daily Report &amp; WIP'!BB25</f>
        <v>0.1154320987654321</v>
      </c>
      <c r="F18" s="211">
        <f>'Daily Report &amp; WIP'!BE25</f>
        <v>0.97641354723707663</v>
      </c>
      <c r="G18" s="211">
        <f>'Daily Report &amp; WIP'!BM25</f>
        <v>0.3</v>
      </c>
      <c r="H18" s="212">
        <f>'Daily Report &amp; WIP'!BH25</f>
        <v>10.856060606060607</v>
      </c>
      <c r="I18" s="210" t="str">
        <f t="shared" si="0"/>
        <v>MERAH</v>
      </c>
      <c r="J18" s="210" t="str">
        <f t="shared" si="1"/>
        <v>KEJAR TARGET</v>
      </c>
    </row>
    <row r="20" spans="1:35" ht="32.1" customHeight="1">
      <c r="A20" s="283"/>
      <c r="B20" s="284"/>
      <c r="C20" s="284"/>
      <c r="D20" s="284"/>
      <c r="E20" s="284"/>
      <c r="F20" s="284"/>
      <c r="G20" s="284"/>
      <c r="H20" s="284"/>
      <c r="I20" s="284"/>
      <c r="J20" s="285"/>
    </row>
    <row r="21" spans="1:35">
      <c r="A21" s="203"/>
      <c r="B21" s="203"/>
      <c r="C21" s="203"/>
      <c r="D21" s="203"/>
      <c r="E21" s="203"/>
      <c r="F21" s="203"/>
      <c r="G21" s="203"/>
      <c r="H21" s="203"/>
      <c r="I21" s="203"/>
      <c r="J21" s="203"/>
    </row>
    <row r="22" spans="1:35" ht="21.95" customHeight="1">
      <c r="A22" s="203"/>
      <c r="B22" s="203"/>
      <c r="C22" s="203"/>
      <c r="D22" s="203"/>
      <c r="E22" s="203"/>
      <c r="F22" s="203"/>
      <c r="G22" s="203"/>
      <c r="H22" s="203"/>
      <c r="I22" s="203"/>
      <c r="J22" s="203"/>
    </row>
    <row r="23" spans="1:35" ht="21.95" customHeight="1">
      <c r="A23" s="203"/>
      <c r="B23" s="203"/>
      <c r="C23" s="203"/>
      <c r="D23" s="203"/>
      <c r="E23" s="203"/>
      <c r="F23" s="203"/>
      <c r="G23" s="203"/>
      <c r="H23" s="203"/>
      <c r="I23" s="203"/>
      <c r="J23" s="203"/>
    </row>
    <row r="24" spans="1:35" ht="21.95" customHeight="1">
      <c r="A24" s="203"/>
      <c r="B24" s="203"/>
      <c r="C24" s="203"/>
      <c r="D24" s="203"/>
      <c r="E24" s="203"/>
      <c r="F24" s="203"/>
      <c r="G24" s="203"/>
      <c r="H24" s="203"/>
      <c r="I24" s="203"/>
      <c r="J24" s="203"/>
    </row>
    <row r="25" spans="1:35">
      <c r="A25" s="203"/>
      <c r="B25" s="203"/>
      <c r="C25" s="203"/>
      <c r="D25" s="203"/>
      <c r="E25" s="203"/>
      <c r="F25" s="203"/>
      <c r="G25" s="203"/>
      <c r="H25" s="203"/>
      <c r="I25" s="203"/>
      <c r="J25" s="203"/>
    </row>
    <row r="26" spans="1:35">
      <c r="A26" s="203"/>
      <c r="B26" s="203"/>
      <c r="C26" s="203"/>
      <c r="D26" s="203"/>
      <c r="E26" s="203"/>
      <c r="F26" s="203"/>
      <c r="G26" s="203"/>
      <c r="H26" s="203"/>
      <c r="I26" s="203"/>
      <c r="J26" s="203"/>
    </row>
    <row r="27" spans="1:35">
      <c r="A27" s="203"/>
      <c r="B27" s="203"/>
      <c r="C27" s="203"/>
      <c r="D27" s="203"/>
      <c r="E27" s="203"/>
      <c r="F27" s="203"/>
      <c r="G27" s="203"/>
      <c r="H27" s="203"/>
      <c r="I27" s="203"/>
      <c r="J27" s="203"/>
    </row>
    <row r="28" spans="1:35">
      <c r="A28" s="203"/>
      <c r="B28" s="203"/>
      <c r="C28" s="203"/>
      <c r="D28" s="203"/>
      <c r="E28" s="203"/>
      <c r="F28" s="203"/>
      <c r="G28" s="203"/>
      <c r="H28" s="203"/>
      <c r="I28" s="203"/>
      <c r="J28" s="203"/>
    </row>
    <row r="29" spans="1:35">
      <c r="A29" s="203"/>
      <c r="B29" s="203"/>
      <c r="C29" s="203"/>
      <c r="D29" s="203"/>
      <c r="E29" s="203"/>
      <c r="F29" s="203"/>
      <c r="G29" s="203"/>
      <c r="H29" s="203"/>
      <c r="I29" s="203"/>
      <c r="J29" s="203"/>
    </row>
    <row r="30" spans="1:35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L30" s="62"/>
    </row>
    <row r="31" spans="1:35">
      <c r="L31" s="32"/>
    </row>
    <row r="32" spans="1:35">
      <c r="L32" s="32"/>
      <c r="W32" s="164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</row>
    <row r="33" spans="12:42">
      <c r="L33" s="32"/>
      <c r="W33" s="32"/>
      <c r="X33" s="32"/>
      <c r="Y33" s="32"/>
      <c r="Z33" s="63"/>
      <c r="AA33" s="68"/>
      <c r="AB33" s="32"/>
      <c r="AC33" s="73"/>
      <c r="AD33" s="32"/>
      <c r="AE33" s="73"/>
      <c r="AF33" s="32"/>
      <c r="AG33" s="32"/>
      <c r="AH33" s="32"/>
      <c r="AI33" s="32"/>
    </row>
    <row r="34" spans="12:42">
      <c r="L34" s="32"/>
      <c r="W34" s="32"/>
      <c r="X34" s="32"/>
      <c r="Y34" s="32"/>
      <c r="Z34" s="32"/>
      <c r="AA34" s="68"/>
      <c r="AB34" s="32"/>
      <c r="AC34" s="73"/>
      <c r="AD34" s="32"/>
      <c r="AE34" s="73"/>
      <c r="AF34" s="32"/>
      <c r="AG34" s="32"/>
      <c r="AH34" s="32"/>
      <c r="AI34" s="32"/>
    </row>
    <row r="35" spans="12:42">
      <c r="L35" s="32"/>
      <c r="W35" s="32"/>
      <c r="X35" s="32"/>
      <c r="Y35" s="32"/>
      <c r="Z35" s="63"/>
      <c r="AA35" s="68"/>
      <c r="AB35" s="32"/>
      <c r="AC35" s="73"/>
      <c r="AD35" s="32"/>
      <c r="AE35" s="73"/>
      <c r="AF35" s="32"/>
      <c r="AG35" s="32"/>
      <c r="AH35" s="32"/>
      <c r="AI35" s="32"/>
    </row>
    <row r="36" spans="12:42">
      <c r="L36" s="32"/>
      <c r="W36" s="32"/>
      <c r="X36" s="32"/>
      <c r="Y36" s="32"/>
      <c r="Z36" s="32"/>
      <c r="AA36" s="68"/>
      <c r="AB36" s="32"/>
      <c r="AC36" s="73"/>
      <c r="AD36" s="32"/>
      <c r="AE36" s="73"/>
      <c r="AF36" s="32"/>
      <c r="AG36" s="32"/>
      <c r="AH36" s="32"/>
      <c r="AI36" s="32"/>
    </row>
    <row r="37" spans="12:42">
      <c r="L37" s="32"/>
      <c r="W37" s="32"/>
      <c r="X37" s="32"/>
      <c r="Y37" s="32"/>
      <c r="Z37" s="32"/>
      <c r="AA37" s="68"/>
      <c r="AB37" s="32"/>
      <c r="AC37" s="73"/>
      <c r="AD37" s="32"/>
      <c r="AE37" s="73"/>
      <c r="AF37" s="32"/>
      <c r="AG37" s="32"/>
      <c r="AH37" s="32"/>
      <c r="AI37" s="32"/>
    </row>
    <row r="38" spans="12:42">
      <c r="L38" s="32"/>
      <c r="W38" s="32"/>
      <c r="X38" s="32"/>
      <c r="Y38" s="32"/>
      <c r="Z38" s="32"/>
      <c r="AA38" s="68"/>
      <c r="AB38" s="32"/>
      <c r="AC38" s="73"/>
      <c r="AD38" s="32"/>
      <c r="AE38" s="73"/>
      <c r="AF38" s="32"/>
      <c r="AG38" s="32"/>
      <c r="AH38" s="32"/>
      <c r="AI38" s="32"/>
    </row>
    <row r="39" spans="12:42">
      <c r="L39" s="32"/>
      <c r="W39" s="32"/>
      <c r="X39" s="32"/>
      <c r="Y39" s="32"/>
      <c r="Z39" s="63"/>
      <c r="AA39" s="68"/>
      <c r="AB39" s="32"/>
      <c r="AC39" s="73"/>
      <c r="AD39" s="32"/>
      <c r="AE39" s="73"/>
      <c r="AF39" s="32"/>
      <c r="AG39" s="32"/>
      <c r="AH39" s="32"/>
      <c r="AI39" s="32"/>
    </row>
    <row r="40" spans="12:42">
      <c r="L40" s="32"/>
      <c r="W40" s="32"/>
      <c r="X40" s="32"/>
      <c r="Y40" s="32"/>
      <c r="Z40" s="32"/>
      <c r="AA40" s="68"/>
      <c r="AB40" s="32"/>
      <c r="AC40" s="73"/>
      <c r="AD40" s="32"/>
      <c r="AE40" s="73"/>
      <c r="AF40" s="32"/>
      <c r="AG40" s="32"/>
      <c r="AH40" s="32"/>
      <c r="AI40" s="32"/>
    </row>
    <row r="41" spans="12:42">
      <c r="L41" s="32"/>
      <c r="W41" s="32"/>
      <c r="X41" s="32"/>
      <c r="Y41" s="32"/>
      <c r="Z41" s="63"/>
      <c r="AA41" s="68"/>
      <c r="AB41" s="32"/>
      <c r="AC41" s="73"/>
      <c r="AD41" s="32"/>
      <c r="AE41" s="73"/>
      <c r="AF41" s="32"/>
      <c r="AG41" s="32"/>
      <c r="AH41" s="32"/>
      <c r="AI41" s="32"/>
    </row>
    <row r="42" spans="12:42">
      <c r="W42" s="32"/>
      <c r="X42" s="32"/>
      <c r="Y42" s="32"/>
      <c r="Z42" s="63"/>
      <c r="AA42" s="68"/>
      <c r="AB42" s="32"/>
      <c r="AC42" s="73"/>
      <c r="AD42" s="32"/>
      <c r="AE42" s="73"/>
      <c r="AF42" s="32"/>
      <c r="AG42" s="32"/>
      <c r="AH42" s="32"/>
      <c r="AI42" s="32"/>
    </row>
    <row r="46" spans="12:42"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2:42">
      <c r="W47" s="32"/>
      <c r="X47" s="32"/>
      <c r="Y47" s="32"/>
      <c r="Z47" s="63"/>
      <c r="AA47" s="68"/>
      <c r="AB47" s="32"/>
      <c r="AC47" s="73"/>
      <c r="AD47" s="32"/>
      <c r="AE47" s="73"/>
      <c r="AF47" s="32"/>
      <c r="AG47" s="32"/>
      <c r="AH47" s="32"/>
    </row>
    <row r="48" spans="12:42">
      <c r="W48" s="32"/>
      <c r="X48" s="32"/>
      <c r="Y48" s="32"/>
      <c r="Z48" s="32"/>
      <c r="AA48" s="68"/>
      <c r="AB48" s="32"/>
      <c r="AC48" s="73"/>
      <c r="AD48" s="32"/>
      <c r="AE48" s="73"/>
      <c r="AF48" s="32"/>
      <c r="AG48" s="32"/>
      <c r="AH48" s="32"/>
      <c r="AJ48" s="39"/>
      <c r="AK48" s="39"/>
      <c r="AL48" s="39"/>
      <c r="AM48" s="39"/>
      <c r="AN48" s="39"/>
      <c r="AO48" s="39"/>
      <c r="AP48" s="39"/>
    </row>
    <row r="49" spans="23:42">
      <c r="W49" s="32"/>
      <c r="X49" s="32"/>
      <c r="Y49" s="32"/>
      <c r="Z49" s="63"/>
      <c r="AA49" s="68"/>
      <c r="AB49" s="32"/>
      <c r="AC49" s="73"/>
      <c r="AD49" s="32"/>
      <c r="AE49" s="73"/>
      <c r="AF49" s="32"/>
      <c r="AG49" s="32"/>
      <c r="AH49" s="32"/>
      <c r="AJ49" s="165"/>
      <c r="AK49" s="165"/>
      <c r="AL49" s="165"/>
      <c r="AM49" s="165"/>
      <c r="AN49" s="165"/>
      <c r="AO49" s="165"/>
      <c r="AP49" s="165"/>
    </row>
    <row r="50" spans="23:42">
      <c r="W50" s="32"/>
      <c r="X50" s="32"/>
      <c r="Y50" s="32"/>
      <c r="Z50" s="32"/>
      <c r="AA50" s="68"/>
      <c r="AB50" s="32"/>
      <c r="AC50" s="73"/>
      <c r="AD50" s="32"/>
      <c r="AE50" s="73"/>
      <c r="AF50" s="32"/>
      <c r="AG50" s="32"/>
      <c r="AH50" s="32"/>
      <c r="AJ50" s="165"/>
      <c r="AK50" s="165"/>
      <c r="AL50" s="165"/>
      <c r="AM50" s="165"/>
      <c r="AN50" s="165"/>
      <c r="AO50" s="165"/>
      <c r="AP50" s="165"/>
    </row>
    <row r="51" spans="23:42">
      <c r="W51" s="32"/>
      <c r="X51" s="32"/>
      <c r="Y51" s="32"/>
      <c r="Z51" s="32"/>
      <c r="AA51" s="68"/>
      <c r="AB51" s="32"/>
      <c r="AC51" s="73"/>
      <c r="AD51" s="32"/>
      <c r="AE51" s="73"/>
      <c r="AF51" s="32"/>
      <c r="AG51" s="32"/>
      <c r="AH51" s="32"/>
      <c r="AJ51" s="165"/>
      <c r="AK51" s="165"/>
      <c r="AL51" s="165"/>
      <c r="AM51" s="165"/>
      <c r="AN51" s="165"/>
      <c r="AO51" s="165"/>
      <c r="AP51" s="165"/>
    </row>
    <row r="52" spans="23:42">
      <c r="W52" s="32"/>
      <c r="X52" s="32"/>
      <c r="Y52" s="32"/>
      <c r="Z52" s="32"/>
      <c r="AA52" s="68"/>
      <c r="AB52" s="32"/>
      <c r="AC52" s="73"/>
      <c r="AD52" s="32"/>
      <c r="AE52" s="73"/>
      <c r="AF52" s="32"/>
      <c r="AG52" s="32"/>
      <c r="AH52" s="32"/>
      <c r="AJ52" s="165"/>
      <c r="AK52" s="165"/>
      <c r="AL52" s="165"/>
      <c r="AM52" s="165"/>
      <c r="AN52" s="165"/>
      <c r="AO52" s="165"/>
      <c r="AP52" s="165"/>
    </row>
    <row r="53" spans="23:42">
      <c r="W53" s="32"/>
      <c r="X53" s="32"/>
      <c r="Y53" s="32"/>
      <c r="Z53" s="63"/>
      <c r="AA53" s="68"/>
      <c r="AB53" s="32"/>
      <c r="AC53" s="73"/>
      <c r="AD53" s="32"/>
      <c r="AE53" s="73"/>
      <c r="AF53" s="32"/>
      <c r="AG53" s="32"/>
      <c r="AH53" s="32"/>
    </row>
    <row r="54" spans="23:42">
      <c r="W54" s="32"/>
      <c r="X54" s="32"/>
      <c r="Y54" s="32"/>
      <c r="Z54" s="63"/>
      <c r="AA54" s="68"/>
      <c r="AB54" s="32"/>
      <c r="AC54" s="73"/>
      <c r="AD54" s="32"/>
      <c r="AE54" s="73"/>
      <c r="AF54" s="32"/>
      <c r="AG54" s="32"/>
      <c r="AH54" s="32"/>
    </row>
    <row r="55" spans="23:42">
      <c r="W55" s="32"/>
      <c r="X55" s="32"/>
      <c r="Y55" s="32"/>
      <c r="Z55" s="63"/>
      <c r="AA55" s="68"/>
      <c r="AB55" s="32"/>
      <c r="AC55" s="73"/>
      <c r="AD55" s="32"/>
      <c r="AE55" s="73"/>
      <c r="AF55" s="32"/>
      <c r="AG55" s="32"/>
      <c r="AH55" s="32"/>
    </row>
    <row r="56" spans="23:42">
      <c r="W56" s="32"/>
      <c r="X56" s="32"/>
      <c r="Y56" s="32"/>
      <c r="Z56" s="63"/>
      <c r="AA56" s="68"/>
      <c r="AB56" s="32"/>
      <c r="AC56" s="73"/>
      <c r="AD56" s="32"/>
      <c r="AE56" s="73"/>
      <c r="AF56" s="32"/>
      <c r="AG56" s="32"/>
      <c r="AH56" s="32"/>
    </row>
    <row r="67" spans="8:48"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</row>
    <row r="68" spans="8:48">
      <c r="AJ68" s="32"/>
      <c r="AK68" s="32"/>
      <c r="AL68" s="32"/>
      <c r="AM68" s="32"/>
      <c r="AN68" s="32"/>
      <c r="AO68" s="32"/>
      <c r="AP68" s="73"/>
      <c r="AQ68" s="32"/>
      <c r="AR68" s="32"/>
      <c r="AS68" s="32"/>
      <c r="AT68" s="32"/>
      <c r="AU68" s="32"/>
      <c r="AV68" s="32"/>
    </row>
    <row r="69" spans="8:48"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AJ69" s="32"/>
      <c r="AK69" s="32"/>
      <c r="AL69" s="32"/>
      <c r="AM69" s="32"/>
      <c r="AN69" s="68"/>
      <c r="AO69" s="32"/>
      <c r="AP69" s="73"/>
      <c r="AQ69" s="32"/>
      <c r="AR69" s="73"/>
      <c r="AS69" s="32"/>
      <c r="AT69" s="32"/>
      <c r="AU69" s="32"/>
      <c r="AV69" s="32"/>
    </row>
    <row r="70" spans="8:48">
      <c r="H70" s="32"/>
      <c r="I70" s="32"/>
      <c r="J70" s="32"/>
      <c r="K70" s="32"/>
      <c r="L70" s="68"/>
      <c r="M70" s="32"/>
      <c r="N70" s="73"/>
      <c r="O70" s="32"/>
      <c r="P70" s="73"/>
      <c r="Q70" s="32"/>
      <c r="R70" s="32"/>
      <c r="S70" s="32"/>
      <c r="T70" s="32"/>
      <c r="AJ70" s="62"/>
      <c r="AK70" s="62"/>
      <c r="AL70" s="62"/>
      <c r="AM70" s="62"/>
      <c r="AN70" s="62"/>
      <c r="AO70" s="62"/>
      <c r="AP70" s="70"/>
      <c r="AQ70" s="62"/>
      <c r="AR70" s="62"/>
      <c r="AS70" s="62"/>
      <c r="AT70" s="62"/>
      <c r="AU70" s="62"/>
      <c r="AV70" s="62"/>
    </row>
    <row r="71" spans="8:48">
      <c r="H71" s="32"/>
      <c r="I71" s="32"/>
      <c r="J71" s="32"/>
      <c r="K71" s="32"/>
      <c r="L71" s="68"/>
      <c r="M71" s="32"/>
      <c r="N71" s="73"/>
      <c r="O71" s="32"/>
      <c r="P71" s="73"/>
      <c r="Q71" s="32"/>
      <c r="R71" s="32"/>
      <c r="S71" s="32"/>
      <c r="T71" s="32"/>
    </row>
    <row r="72" spans="8:48">
      <c r="H72" s="32"/>
      <c r="I72" s="32"/>
      <c r="J72" s="32"/>
      <c r="K72" s="32"/>
      <c r="L72" s="68"/>
      <c r="M72" s="32"/>
      <c r="N72" s="73"/>
      <c r="O72" s="32"/>
      <c r="P72" s="73"/>
      <c r="Q72" s="32"/>
      <c r="R72" s="32"/>
      <c r="S72" s="32"/>
      <c r="T72" s="32"/>
    </row>
    <row r="73" spans="8:48">
      <c r="H73" s="32"/>
      <c r="I73" s="32"/>
      <c r="J73" s="32"/>
      <c r="K73" s="32"/>
      <c r="L73" s="68"/>
      <c r="M73" s="32"/>
      <c r="N73" s="73"/>
      <c r="O73" s="32"/>
      <c r="P73" s="73"/>
      <c r="Q73" s="32"/>
      <c r="R73" s="32"/>
      <c r="S73" s="32"/>
      <c r="T73" s="32"/>
    </row>
    <row r="74" spans="8:48">
      <c r="H74" s="32"/>
      <c r="I74" s="32"/>
      <c r="J74" s="32"/>
      <c r="K74" s="32"/>
      <c r="L74" s="68"/>
      <c r="M74" s="32"/>
      <c r="N74" s="73"/>
      <c r="O74" s="32"/>
      <c r="P74" s="73"/>
      <c r="Q74" s="32"/>
      <c r="R74" s="32"/>
      <c r="S74" s="32"/>
      <c r="T74" s="32"/>
    </row>
    <row r="75" spans="8:48">
      <c r="H75" s="32"/>
      <c r="I75" s="32"/>
      <c r="J75" s="32"/>
      <c r="K75" s="32"/>
      <c r="L75" s="68"/>
      <c r="M75" s="32"/>
      <c r="N75" s="73"/>
      <c r="O75" s="32"/>
      <c r="P75" s="73"/>
      <c r="Q75" s="32"/>
      <c r="R75" s="32"/>
      <c r="S75" s="32"/>
      <c r="T75" s="32"/>
    </row>
    <row r="76" spans="8:48">
      <c r="H76" s="32"/>
      <c r="I76" s="32"/>
      <c r="J76" s="32"/>
      <c r="K76" s="32"/>
      <c r="L76" s="68"/>
      <c r="M76" s="32"/>
      <c r="N76" s="73"/>
      <c r="O76" s="32"/>
      <c r="P76" s="73"/>
      <c r="Q76" s="32"/>
      <c r="R76" s="32"/>
      <c r="S76" s="32"/>
      <c r="T76" s="32"/>
    </row>
    <row r="77" spans="8:48">
      <c r="H77" s="32"/>
      <c r="I77" s="32"/>
      <c r="J77" s="32"/>
      <c r="K77" s="32"/>
      <c r="L77" s="68"/>
      <c r="M77" s="32"/>
      <c r="N77" s="73"/>
      <c r="O77" s="32"/>
      <c r="P77" s="73"/>
      <c r="Q77" s="32"/>
      <c r="R77" s="32"/>
      <c r="S77" s="32"/>
      <c r="T77" s="32"/>
      <c r="AK77" s="2"/>
    </row>
    <row r="78" spans="8:48">
      <c r="H78" s="32"/>
      <c r="I78" s="32"/>
      <c r="J78" s="32"/>
      <c r="K78" s="32"/>
      <c r="L78" s="68"/>
      <c r="M78" s="32"/>
      <c r="N78" s="73"/>
      <c r="O78" s="32"/>
      <c r="P78" s="73"/>
      <c r="Q78" s="32"/>
      <c r="R78" s="32"/>
      <c r="S78" s="32"/>
      <c r="T78" s="32"/>
      <c r="AK78" s="44"/>
      <c r="AL78" s="44"/>
      <c r="AM78" s="44"/>
      <c r="AN78" s="44"/>
      <c r="AO78" s="44"/>
      <c r="AP78" s="44"/>
      <c r="AQ78" s="44"/>
      <c r="AR78" s="44"/>
      <c r="AS78" s="44"/>
    </row>
    <row r="79" spans="8:48">
      <c r="H79" s="32"/>
      <c r="I79" s="32"/>
      <c r="J79" s="32"/>
      <c r="K79" s="32"/>
      <c r="L79" s="68"/>
      <c r="M79" s="32"/>
      <c r="N79" s="73"/>
      <c r="O79" s="32"/>
      <c r="P79" s="73"/>
      <c r="Q79" s="32"/>
      <c r="R79" s="32"/>
      <c r="S79" s="32"/>
      <c r="T79" s="32"/>
      <c r="AK79" s="49"/>
      <c r="AL79" s="138"/>
      <c r="AM79" s="49"/>
      <c r="AN79" s="49"/>
      <c r="AO79" s="49"/>
      <c r="AP79" s="49"/>
      <c r="AQ79" s="138"/>
      <c r="AR79" s="49"/>
      <c r="AS79" s="49"/>
    </row>
    <row r="80" spans="8:48">
      <c r="AK80" s="61"/>
      <c r="AL80" s="32"/>
      <c r="AM80" s="47"/>
      <c r="AN80" s="50"/>
      <c r="AO80" s="47"/>
      <c r="AP80" s="61"/>
      <c r="AQ80" s="32"/>
      <c r="AR80" s="32"/>
      <c r="AS80" s="50"/>
    </row>
    <row r="81" spans="37:45">
      <c r="AK81" s="61"/>
      <c r="AL81" s="32"/>
      <c r="AM81" s="47"/>
      <c r="AN81" s="50"/>
      <c r="AO81" s="47"/>
      <c r="AP81" s="61"/>
      <c r="AQ81" s="32"/>
      <c r="AR81" s="32"/>
      <c r="AS81" s="50"/>
    </row>
    <row r="82" spans="37:45">
      <c r="AK82" s="61"/>
      <c r="AL82" s="32"/>
      <c r="AM82" s="47"/>
      <c r="AN82" s="50"/>
      <c r="AO82" s="47"/>
      <c r="AP82" s="61"/>
      <c r="AQ82" s="32"/>
      <c r="AR82" s="32"/>
      <c r="AS82" s="50"/>
    </row>
    <row r="83" spans="37:45">
      <c r="AK83" s="61"/>
      <c r="AL83" s="32"/>
      <c r="AM83" s="47"/>
      <c r="AN83" s="50"/>
      <c r="AO83" s="47"/>
      <c r="AP83" s="61"/>
      <c r="AQ83" s="32"/>
      <c r="AR83" s="47"/>
      <c r="AS83" s="50"/>
    </row>
    <row r="84" spans="37:45">
      <c r="AK84" s="61"/>
      <c r="AL84" s="32"/>
      <c r="AM84" s="47"/>
      <c r="AN84" s="50"/>
      <c r="AO84" s="47"/>
      <c r="AP84" s="61"/>
      <c r="AQ84" s="32"/>
      <c r="AR84" s="47"/>
      <c r="AS84" s="50"/>
    </row>
    <row r="85" spans="37:45">
      <c r="AK85" s="61"/>
      <c r="AL85" s="32"/>
      <c r="AM85" s="47"/>
      <c r="AN85" s="50"/>
      <c r="AO85" s="47"/>
      <c r="AP85" s="61"/>
      <c r="AQ85" s="32"/>
      <c r="AR85" s="47"/>
      <c r="AS85" s="50"/>
    </row>
    <row r="86" spans="37:45">
      <c r="AK86" s="61"/>
      <c r="AL86" s="32"/>
      <c r="AM86" s="47"/>
      <c r="AN86" s="50"/>
      <c r="AO86" s="47"/>
      <c r="AP86" s="61"/>
      <c r="AQ86" s="32"/>
      <c r="AR86" s="47"/>
      <c r="AS86" s="50"/>
    </row>
    <row r="87" spans="37:45">
      <c r="AK87" s="61"/>
      <c r="AL87" s="32"/>
      <c r="AM87" s="47"/>
      <c r="AN87" s="50"/>
      <c r="AO87" s="47"/>
      <c r="AP87" s="61"/>
      <c r="AQ87" s="32"/>
      <c r="AR87" s="47"/>
      <c r="AS87" s="50"/>
    </row>
    <row r="88" spans="37:45">
      <c r="AK88" s="61"/>
      <c r="AL88" s="32"/>
      <c r="AM88" s="47"/>
      <c r="AN88" s="50"/>
      <c r="AO88" s="47"/>
      <c r="AP88" s="61"/>
      <c r="AQ88" s="32"/>
      <c r="AR88" s="47"/>
      <c r="AS88" s="50"/>
    </row>
    <row r="89" spans="37:45">
      <c r="AK89" s="61"/>
      <c r="AL89" s="32"/>
      <c r="AM89" s="47"/>
      <c r="AN89" s="50"/>
      <c r="AO89" s="47"/>
      <c r="AP89" s="61"/>
      <c r="AQ89" s="32"/>
      <c r="AR89" s="47"/>
      <c r="AS89" s="50"/>
    </row>
    <row r="90" spans="37:45">
      <c r="AK90" s="61"/>
      <c r="AL90" s="32"/>
      <c r="AM90" s="47"/>
      <c r="AN90" s="50"/>
      <c r="AO90" s="47"/>
      <c r="AP90" s="61"/>
      <c r="AQ90" s="32"/>
      <c r="AR90" s="47"/>
      <c r="AS90" s="50"/>
    </row>
    <row r="91" spans="37:45">
      <c r="AK91" s="61"/>
      <c r="AL91" s="32"/>
      <c r="AM91" s="47"/>
      <c r="AN91" s="50"/>
      <c r="AO91" s="47"/>
      <c r="AP91" s="61"/>
      <c r="AQ91" s="32"/>
      <c r="AR91" s="47"/>
      <c r="AS91" s="50"/>
    </row>
    <row r="92" spans="37:45">
      <c r="AK92" s="61"/>
      <c r="AL92" s="32"/>
      <c r="AM92" s="47"/>
      <c r="AN92" s="50"/>
      <c r="AO92" s="47"/>
      <c r="AP92" s="61"/>
      <c r="AQ92" s="32"/>
      <c r="AR92" s="165"/>
      <c r="AS92" s="166"/>
    </row>
    <row r="93" spans="37:45">
      <c r="AK93" s="61"/>
      <c r="AL93" s="32"/>
      <c r="AM93" s="47"/>
      <c r="AN93" s="50"/>
      <c r="AO93" s="47"/>
      <c r="AP93" s="61"/>
      <c r="AQ93" s="32"/>
      <c r="AR93" s="165"/>
      <c r="AS93" s="166"/>
    </row>
    <row r="94" spans="37:45">
      <c r="AK94" s="61"/>
      <c r="AL94" s="32"/>
      <c r="AM94" s="47"/>
      <c r="AN94" s="50"/>
      <c r="AO94" s="47"/>
      <c r="AP94" s="61"/>
      <c r="AQ94" s="32"/>
      <c r="AR94" s="165"/>
      <c r="AS94" s="166"/>
    </row>
    <row r="95" spans="37:45">
      <c r="AK95" s="61"/>
      <c r="AL95" s="32"/>
      <c r="AM95" s="47"/>
      <c r="AN95" s="50"/>
      <c r="AO95" s="47"/>
      <c r="AP95" s="61"/>
      <c r="AQ95" s="32"/>
      <c r="AR95" s="47"/>
      <c r="AS95" s="50"/>
    </row>
    <row r="96" spans="37:45">
      <c r="AK96" s="61"/>
      <c r="AL96" s="32"/>
      <c r="AM96" s="47"/>
      <c r="AN96" s="50"/>
      <c r="AO96" s="47"/>
      <c r="AP96" s="61"/>
      <c r="AQ96" s="32"/>
      <c r="AR96" s="47"/>
      <c r="AS96" s="50"/>
    </row>
    <row r="97" spans="8:45">
      <c r="AK97" s="61"/>
      <c r="AL97" s="32"/>
      <c r="AM97" s="47"/>
      <c r="AN97" s="50"/>
      <c r="AO97" s="47"/>
      <c r="AP97" s="61"/>
      <c r="AQ97" s="32"/>
      <c r="AR97" s="47"/>
      <c r="AS97" s="50"/>
    </row>
    <row r="98" spans="8:45">
      <c r="AK98" s="61"/>
      <c r="AL98" s="32"/>
      <c r="AM98" s="47"/>
      <c r="AN98" s="50"/>
      <c r="AO98" s="47"/>
      <c r="AP98" s="61"/>
      <c r="AQ98" s="32"/>
      <c r="AR98" s="47"/>
      <c r="AS98" s="50"/>
    </row>
    <row r="99" spans="8:45">
      <c r="AK99" s="61"/>
      <c r="AL99" s="32"/>
      <c r="AM99" s="47"/>
      <c r="AN99" s="50"/>
      <c r="AO99" s="47"/>
      <c r="AP99" s="61"/>
      <c r="AQ99" s="32"/>
      <c r="AR99" s="47"/>
      <c r="AS99" s="50"/>
    </row>
    <row r="100" spans="8:45"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AK100" s="61"/>
      <c r="AL100" s="32"/>
      <c r="AM100" s="32"/>
      <c r="AN100" s="50"/>
      <c r="AO100" s="47"/>
      <c r="AP100" s="61"/>
      <c r="AQ100" s="32"/>
      <c r="AR100" s="47"/>
      <c r="AS100" s="50"/>
    </row>
    <row r="101" spans="8:45">
      <c r="H101" s="32"/>
      <c r="I101" s="32"/>
      <c r="J101" s="32"/>
      <c r="K101" s="63"/>
      <c r="L101" s="68"/>
      <c r="M101" s="32"/>
      <c r="N101" s="73"/>
      <c r="O101" s="32"/>
      <c r="P101" s="73"/>
      <c r="Q101" s="32"/>
      <c r="R101" s="32"/>
      <c r="S101" s="32"/>
      <c r="T101" s="32"/>
      <c r="AK101" s="61"/>
      <c r="AL101" s="32"/>
      <c r="AM101" s="32"/>
      <c r="AN101" s="50"/>
      <c r="AO101" s="47"/>
      <c r="AP101" s="61"/>
      <c r="AQ101" s="32"/>
      <c r="AR101" s="47"/>
      <c r="AS101" s="50"/>
    </row>
    <row r="102" spans="8:45">
      <c r="H102" s="32"/>
      <c r="I102" s="32"/>
      <c r="J102" s="32"/>
      <c r="K102" s="32"/>
      <c r="L102" s="68"/>
      <c r="M102" s="32"/>
      <c r="N102" s="73"/>
      <c r="O102" s="32"/>
      <c r="P102" s="73"/>
      <c r="Q102" s="32"/>
      <c r="R102" s="32"/>
      <c r="S102" s="32"/>
      <c r="T102" s="32"/>
      <c r="AK102" s="61"/>
      <c r="AL102" s="32"/>
      <c r="AM102" s="47"/>
      <c r="AN102" s="50"/>
      <c r="AO102" s="47"/>
      <c r="AP102" s="61"/>
      <c r="AQ102" s="32"/>
      <c r="AR102" s="47"/>
      <c r="AS102" s="50"/>
    </row>
    <row r="103" spans="8:45">
      <c r="H103" s="32"/>
      <c r="I103" s="32"/>
      <c r="J103" s="32"/>
      <c r="K103" s="63"/>
      <c r="L103" s="68"/>
      <c r="M103" s="32"/>
      <c r="N103" s="73"/>
      <c r="O103" s="32"/>
      <c r="P103" s="73"/>
      <c r="Q103" s="32"/>
      <c r="R103" s="32"/>
      <c r="S103" s="32"/>
      <c r="T103" s="32"/>
      <c r="AK103" s="61"/>
      <c r="AL103" s="32"/>
      <c r="AM103" s="47"/>
      <c r="AN103" s="50"/>
      <c r="AO103" s="47"/>
      <c r="AP103" s="61"/>
      <c r="AQ103" s="32"/>
      <c r="AR103" s="47"/>
      <c r="AS103" s="50"/>
    </row>
    <row r="104" spans="8:45">
      <c r="H104" s="32"/>
      <c r="I104" s="32"/>
      <c r="J104" s="32"/>
      <c r="K104" s="32"/>
      <c r="L104" s="68"/>
      <c r="M104" s="32"/>
      <c r="N104" s="73"/>
      <c r="O104" s="32"/>
      <c r="P104" s="73"/>
      <c r="Q104" s="32"/>
      <c r="R104" s="32"/>
      <c r="S104" s="32"/>
      <c r="T104" s="32"/>
      <c r="AK104" s="61"/>
      <c r="AL104" s="32"/>
      <c r="AM104" s="47"/>
      <c r="AN104" s="50"/>
      <c r="AO104" s="47"/>
      <c r="AP104" s="61"/>
      <c r="AQ104" s="32"/>
      <c r="AR104" s="47"/>
      <c r="AS104" s="50"/>
    </row>
    <row r="105" spans="8:45">
      <c r="H105" s="32"/>
      <c r="I105" s="32"/>
      <c r="J105" s="32"/>
      <c r="K105" s="63"/>
      <c r="L105" s="68"/>
      <c r="M105" s="32"/>
      <c r="N105" s="73"/>
      <c r="O105" s="32"/>
      <c r="P105" s="73"/>
      <c r="Q105" s="32"/>
      <c r="R105" s="32"/>
      <c r="S105" s="32"/>
      <c r="T105" s="32"/>
      <c r="AK105" s="61"/>
      <c r="AL105" s="32"/>
      <c r="AM105" s="47"/>
      <c r="AN105" s="50"/>
      <c r="AO105" s="47"/>
      <c r="AP105" s="61"/>
      <c r="AQ105" s="32"/>
      <c r="AR105" s="47"/>
      <c r="AS105" s="50"/>
    </row>
    <row r="106" spans="8:45">
      <c r="H106" s="32"/>
      <c r="I106" s="32"/>
      <c r="J106" s="32"/>
      <c r="K106" s="63"/>
      <c r="L106" s="68"/>
      <c r="M106" s="32"/>
      <c r="N106" s="73"/>
      <c r="O106" s="32"/>
      <c r="P106" s="73"/>
      <c r="Q106" s="32"/>
      <c r="R106" s="32"/>
      <c r="S106" s="32"/>
      <c r="T106" s="32"/>
      <c r="AK106" s="61"/>
      <c r="AL106" s="32"/>
      <c r="AM106" s="47"/>
      <c r="AN106" s="50"/>
      <c r="AO106" s="47"/>
      <c r="AP106" s="61"/>
      <c r="AQ106" s="32"/>
      <c r="AR106" s="47"/>
      <c r="AS106" s="50"/>
    </row>
    <row r="107" spans="8:45">
      <c r="H107" s="32"/>
      <c r="I107" s="32"/>
      <c r="J107" s="32"/>
      <c r="K107" s="63"/>
      <c r="L107" s="68"/>
      <c r="M107" s="32"/>
      <c r="N107" s="73"/>
      <c r="O107" s="32"/>
      <c r="P107" s="73"/>
      <c r="Q107" s="32"/>
      <c r="R107" s="32"/>
      <c r="S107" s="32"/>
      <c r="T107" s="32"/>
      <c r="AK107" s="61"/>
      <c r="AL107" s="32"/>
      <c r="AM107" s="47"/>
      <c r="AN107" s="50"/>
      <c r="AO107" s="47"/>
      <c r="AP107" s="61"/>
      <c r="AQ107" s="32"/>
      <c r="AR107" s="47"/>
      <c r="AS107" s="50"/>
    </row>
    <row r="108" spans="8:45">
      <c r="H108" s="32"/>
      <c r="I108" s="32"/>
      <c r="J108" s="32"/>
      <c r="K108" s="63"/>
      <c r="L108" s="68"/>
      <c r="M108" s="32"/>
      <c r="N108" s="73"/>
      <c r="O108" s="32"/>
      <c r="P108" s="73"/>
      <c r="Q108" s="32"/>
      <c r="R108" s="32"/>
      <c r="S108" s="32"/>
      <c r="T108" s="32"/>
      <c r="AK108" s="61"/>
      <c r="AL108" s="32"/>
      <c r="AM108" s="47"/>
      <c r="AN108" s="50"/>
      <c r="AO108" s="47"/>
      <c r="AP108" s="61"/>
      <c r="AQ108" s="32"/>
      <c r="AR108" s="47"/>
      <c r="AS108" s="50"/>
    </row>
    <row r="109" spans="8:45">
      <c r="H109" s="32"/>
      <c r="I109" s="32"/>
      <c r="J109" s="32"/>
      <c r="K109" s="32"/>
      <c r="L109" s="68"/>
      <c r="M109" s="32"/>
      <c r="N109" s="73"/>
      <c r="O109" s="32"/>
      <c r="P109" s="73"/>
      <c r="Q109" s="32"/>
      <c r="R109" s="32"/>
      <c r="S109" s="32"/>
      <c r="T109" s="32"/>
      <c r="AK109" s="61"/>
      <c r="AL109" s="32"/>
      <c r="AM109" s="47"/>
      <c r="AN109" s="50"/>
      <c r="AO109" s="47"/>
      <c r="AP109" s="61"/>
      <c r="AQ109" s="32"/>
      <c r="AR109" s="47"/>
      <c r="AS109" s="50"/>
    </row>
    <row r="110" spans="8:45">
      <c r="H110" s="32"/>
      <c r="I110" s="32"/>
      <c r="J110" s="32"/>
      <c r="K110" s="32"/>
      <c r="L110" s="68"/>
      <c r="M110" s="32"/>
      <c r="N110" s="73"/>
      <c r="O110" s="32"/>
      <c r="P110" s="73"/>
      <c r="Q110" s="32"/>
      <c r="R110" s="32"/>
      <c r="S110" s="32"/>
      <c r="T110" s="32"/>
    </row>
    <row r="113" spans="8:49"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</row>
    <row r="114" spans="8:49">
      <c r="AK114" s="32"/>
      <c r="AL114" s="32"/>
      <c r="AM114" s="32"/>
      <c r="AN114" s="32"/>
      <c r="AO114" s="68"/>
      <c r="AP114" s="32"/>
      <c r="AQ114" s="73"/>
      <c r="AR114" s="32"/>
      <c r="AS114" s="73"/>
      <c r="AT114" s="32"/>
      <c r="AU114" s="32"/>
      <c r="AV114" s="32"/>
      <c r="AW114" s="32"/>
    </row>
    <row r="115" spans="8:49">
      <c r="AK115" s="32"/>
      <c r="AL115" s="32"/>
      <c r="AM115" s="32"/>
      <c r="AN115" s="32"/>
      <c r="AO115" s="68"/>
      <c r="AP115" s="32"/>
      <c r="AQ115" s="73"/>
      <c r="AR115" s="32"/>
      <c r="AS115" s="73"/>
      <c r="AT115" s="32"/>
      <c r="AU115" s="32"/>
      <c r="AV115" s="32"/>
      <c r="AW115" s="32"/>
    </row>
    <row r="116" spans="8:49">
      <c r="H116" s="62"/>
      <c r="I116" s="62"/>
      <c r="J116" s="62"/>
      <c r="K116" s="62"/>
      <c r="L116" s="62"/>
      <c r="M116" s="62"/>
      <c r="N116" s="62"/>
      <c r="AK116" s="62"/>
      <c r="AL116" s="62"/>
      <c r="AM116" s="62"/>
      <c r="AN116" s="62"/>
      <c r="AO116" s="69"/>
      <c r="AP116" s="62"/>
      <c r="AQ116" s="70"/>
      <c r="AR116" s="62"/>
      <c r="AS116" s="70"/>
      <c r="AT116" s="62"/>
      <c r="AU116" s="62"/>
      <c r="AV116" s="62"/>
      <c r="AW116" s="62"/>
    </row>
    <row r="117" spans="8:49">
      <c r="H117" s="32"/>
      <c r="I117" s="32"/>
      <c r="J117" s="32"/>
      <c r="K117" s="63"/>
      <c r="L117" s="68"/>
      <c r="M117" s="32"/>
      <c r="N117" s="73"/>
    </row>
    <row r="118" spans="8:49">
      <c r="H118" s="32"/>
      <c r="I118" s="32"/>
      <c r="J118" s="32"/>
      <c r="K118" s="63"/>
      <c r="L118" s="68"/>
      <c r="M118" s="32"/>
      <c r="N118" s="73"/>
    </row>
    <row r="119" spans="8:49">
      <c r="H119" s="32"/>
      <c r="I119" s="32"/>
      <c r="J119" s="32"/>
      <c r="K119" s="63"/>
      <c r="L119" s="68"/>
      <c r="M119" s="32"/>
      <c r="N119" s="73"/>
    </row>
    <row r="120" spans="8:49">
      <c r="H120" s="32"/>
      <c r="I120" s="32"/>
      <c r="J120" s="32"/>
      <c r="K120" s="63"/>
      <c r="L120" s="68"/>
      <c r="M120" s="32"/>
      <c r="N120" s="73"/>
    </row>
    <row r="121" spans="8:49">
      <c r="H121" s="62"/>
      <c r="I121" s="62"/>
      <c r="J121" s="62"/>
      <c r="K121" s="64"/>
      <c r="L121" s="69"/>
      <c r="M121" s="62"/>
      <c r="N121" s="70"/>
      <c r="AL121" s="44"/>
      <c r="AM121" s="44"/>
      <c r="AN121" s="44"/>
      <c r="AO121" s="44"/>
    </row>
    <row r="122" spans="8:49">
      <c r="H122" s="62"/>
      <c r="I122" s="62"/>
      <c r="J122" s="62"/>
      <c r="K122" s="64"/>
      <c r="L122" s="69"/>
      <c r="M122" s="62"/>
      <c r="N122" s="70"/>
      <c r="AL122" s="49"/>
      <c r="AM122" s="138"/>
      <c r="AN122" s="49"/>
      <c r="AO122" s="167"/>
    </row>
    <row r="123" spans="8:49">
      <c r="AL123" s="61"/>
      <c r="AM123" s="32"/>
      <c r="AN123" s="168"/>
      <c r="AO123" s="169"/>
    </row>
    <row r="124" spans="8:49">
      <c r="AL124" s="61"/>
      <c r="AM124" s="32"/>
      <c r="AN124" s="168"/>
      <c r="AO124" s="169"/>
    </row>
    <row r="125" spans="8:49">
      <c r="AL125" s="61"/>
      <c r="AM125" s="32"/>
      <c r="AN125" s="168"/>
      <c r="AO125" s="169"/>
    </row>
    <row r="126" spans="8:49">
      <c r="AL126" s="61"/>
      <c r="AM126" s="32"/>
      <c r="AN126" s="168"/>
      <c r="AO126" s="169"/>
    </row>
    <row r="127" spans="8:49">
      <c r="AL127" s="61"/>
      <c r="AM127" s="32"/>
      <c r="AN127" s="168"/>
      <c r="AO127" s="169"/>
    </row>
    <row r="128" spans="8:49">
      <c r="AL128" s="61"/>
      <c r="AM128" s="32"/>
      <c r="AN128" s="168"/>
      <c r="AO128" s="169"/>
    </row>
    <row r="129" spans="8:41">
      <c r="AL129" s="61"/>
      <c r="AM129" s="31"/>
      <c r="AN129" s="31"/>
      <c r="AO129" s="170"/>
    </row>
    <row r="130" spans="8:41">
      <c r="H130" s="139"/>
      <c r="I130" s="139"/>
      <c r="J130" s="32"/>
      <c r="K130" s="32"/>
      <c r="L130" s="32"/>
      <c r="M130" s="63"/>
      <c r="N130" s="32"/>
      <c r="O130" s="171"/>
      <c r="P130" s="32"/>
      <c r="Q130" s="32"/>
      <c r="R130" s="171"/>
      <c r="S130" s="172"/>
      <c r="T130" s="32"/>
      <c r="AL130" s="61"/>
      <c r="AM130" s="32"/>
      <c r="AN130" s="168"/>
      <c r="AO130" s="169"/>
    </row>
    <row r="131" spans="8:41">
      <c r="H131" s="147"/>
      <c r="I131" s="147"/>
      <c r="J131" s="32"/>
      <c r="K131" s="32"/>
      <c r="L131" s="32"/>
      <c r="M131" s="63"/>
      <c r="N131" s="32"/>
      <c r="O131" s="171"/>
      <c r="P131" s="32"/>
      <c r="Q131" s="32"/>
      <c r="R131" s="171"/>
      <c r="S131" s="172"/>
      <c r="T131" s="32"/>
      <c r="AL131" s="61"/>
      <c r="AM131" s="32"/>
      <c r="AN131" s="168"/>
      <c r="AO131" s="169"/>
    </row>
    <row r="132" spans="8:41">
      <c r="AL132" s="61"/>
      <c r="AM132" s="32"/>
      <c r="AN132" s="168"/>
      <c r="AO132" s="169"/>
    </row>
    <row r="133" spans="8:41">
      <c r="AL133" s="61"/>
      <c r="AM133" s="32"/>
      <c r="AN133" s="168"/>
      <c r="AO133" s="169"/>
    </row>
    <row r="134" spans="8:41">
      <c r="AL134" s="61"/>
      <c r="AM134" s="32"/>
      <c r="AN134" s="168"/>
      <c r="AO134" s="169"/>
    </row>
    <row r="135" spans="8:41">
      <c r="AL135" s="61"/>
      <c r="AM135" s="32"/>
      <c r="AN135" s="168"/>
      <c r="AO135" s="169"/>
    </row>
    <row r="136" spans="8:41">
      <c r="AL136" s="61"/>
      <c r="AM136" s="31"/>
      <c r="AN136" s="31"/>
      <c r="AO136" s="170"/>
    </row>
    <row r="137" spans="8:41">
      <c r="AL137" s="61"/>
      <c r="AM137" s="32"/>
      <c r="AN137" s="168"/>
      <c r="AO137" s="169"/>
    </row>
    <row r="138" spans="8:41">
      <c r="AL138" s="61"/>
      <c r="AM138" s="32"/>
      <c r="AN138" s="168"/>
      <c r="AO138" s="169"/>
    </row>
    <row r="139" spans="8:41">
      <c r="AL139" s="61"/>
      <c r="AM139" s="32"/>
      <c r="AN139" s="168"/>
      <c r="AO139" s="169"/>
    </row>
    <row r="140" spans="8:41">
      <c r="AL140" s="61"/>
      <c r="AM140" s="32"/>
      <c r="AN140" s="168"/>
      <c r="AO140" s="169"/>
    </row>
    <row r="141" spans="8:41">
      <c r="AL141" s="61"/>
      <c r="AM141" s="32"/>
      <c r="AN141" s="168"/>
      <c r="AO141" s="169"/>
    </row>
    <row r="142" spans="8:41">
      <c r="AL142" s="61"/>
      <c r="AM142" s="32"/>
      <c r="AN142" s="168"/>
      <c r="AO142" s="169"/>
    </row>
    <row r="143" spans="8:41">
      <c r="AL143" s="61"/>
      <c r="AM143" s="31"/>
      <c r="AN143" s="31"/>
      <c r="AO143" s="50"/>
    </row>
    <row r="144" spans="8:41">
      <c r="AL144" s="61"/>
      <c r="AM144" s="32"/>
      <c r="AN144" s="165"/>
      <c r="AO144" s="166"/>
    </row>
    <row r="145" spans="38:41">
      <c r="AL145" s="61"/>
      <c r="AM145" s="32"/>
      <c r="AN145" s="165"/>
      <c r="AO145" s="166"/>
    </row>
    <row r="146" spans="38:41">
      <c r="AL146" s="61"/>
      <c r="AM146" s="32"/>
      <c r="AN146" s="47"/>
      <c r="AO146" s="50"/>
    </row>
    <row r="147" spans="38:41">
      <c r="AL147" s="61"/>
      <c r="AM147" s="32"/>
      <c r="AN147" s="47"/>
      <c r="AO147" s="166"/>
    </row>
    <row r="148" spans="38:41">
      <c r="AL148" s="61"/>
      <c r="AM148" s="32"/>
      <c r="AN148" s="47"/>
      <c r="AO148" s="50"/>
    </row>
    <row r="149" spans="38:41">
      <c r="AL149" s="61"/>
      <c r="AM149" s="32"/>
      <c r="AN149" s="47"/>
      <c r="AO149" s="166"/>
    </row>
    <row r="150" spans="38:41">
      <c r="AL150" s="61"/>
      <c r="AM150" s="32"/>
      <c r="AN150" s="47"/>
      <c r="AO150" s="50"/>
    </row>
    <row r="151" spans="38:41">
      <c r="AL151" s="61"/>
      <c r="AM151" s="32"/>
      <c r="AN151" s="47"/>
      <c r="AO151" s="50"/>
    </row>
    <row r="152" spans="38:41">
      <c r="AL152" s="61"/>
      <c r="AM152" s="32"/>
      <c r="AN152" s="47"/>
      <c r="AO152" s="50"/>
    </row>
  </sheetData>
  <mergeCells count="5">
    <mergeCell ref="A1:J1"/>
    <mergeCell ref="A20:J20"/>
    <mergeCell ref="A14:A16"/>
    <mergeCell ref="A17:A18"/>
    <mergeCell ref="A12:A13"/>
  </mergeCells>
  <conditionalFormatting sqref="I4:I18">
    <cfRule type="expression" dxfId="9" priority="6">
      <formula>I4="HIJAU"</formula>
    </cfRule>
    <cfRule type="expression" dxfId="8" priority="7">
      <formula>I4="KUNING"</formula>
    </cfRule>
    <cfRule type="expression" dxfId="7" priority="8">
      <formula>I4="MERAH"</formula>
    </cfRule>
    <cfRule type="expression" dxfId="6" priority="11">
      <formula>I4="HIJAU"</formula>
    </cfRule>
    <cfRule type="expression" dxfId="5" priority="12">
      <formula>I4="KUNING"</formula>
    </cfRule>
    <cfRule type="expression" dxfId="4" priority="13">
      <formula>I4="MERAH"</formula>
    </cfRule>
  </conditionalFormatting>
  <conditionalFormatting sqref="J4:J18">
    <cfRule type="expression" dxfId="3" priority="9">
      <formula>J4="TERCAPAI"</formula>
    </cfRule>
    <cfRule type="expression" dxfId="2" priority="10">
      <formula>J4="KEJAR TARGET"</formula>
    </cfRule>
    <cfRule type="expression" dxfId="1" priority="14">
      <formula>J4="TERCAPAI"</formula>
    </cfRule>
    <cfRule type="expression" dxfId="0" priority="15">
      <formula>J4="KEJAR TARGET"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24"/>
  <sheetViews>
    <sheetView workbookViewId="0"/>
  </sheetViews>
  <sheetFormatPr defaultRowHeight="15"/>
  <cols>
    <col min="2" max="2" width="22.28515625" customWidth="1"/>
    <col min="3" max="3" width="16.7109375" customWidth="1"/>
    <col min="19" max="19" width="16.28515625" customWidth="1"/>
    <col min="22" max="25" width="12.42578125" customWidth="1"/>
    <col min="27" max="31" width="12.42578125" customWidth="1"/>
  </cols>
  <sheetData>
    <row r="1" spans="1:18">
      <c r="A1" s="37" t="s">
        <v>128</v>
      </c>
    </row>
    <row r="2" spans="1:18">
      <c r="A2" s="290" t="s">
        <v>129</v>
      </c>
      <c r="B2" s="290" t="s">
        <v>130</v>
      </c>
      <c r="C2" s="290" t="s">
        <v>131</v>
      </c>
      <c r="D2" s="290" t="s">
        <v>132</v>
      </c>
      <c r="E2" s="291" t="s">
        <v>133</v>
      </c>
      <c r="F2" s="291"/>
      <c r="G2" s="291"/>
      <c r="H2" s="292" t="s">
        <v>134</v>
      </c>
      <c r="I2" s="291" t="s">
        <v>135</v>
      </c>
      <c r="J2" s="291"/>
      <c r="K2" s="291"/>
      <c r="L2" s="291"/>
      <c r="M2" s="291"/>
      <c r="N2" s="291"/>
      <c r="O2" s="291"/>
      <c r="P2" s="291"/>
      <c r="Q2" s="291"/>
      <c r="R2" s="291"/>
    </row>
    <row r="3" spans="1:18">
      <c r="A3" s="290"/>
      <c r="B3" s="290"/>
      <c r="C3" s="290"/>
      <c r="D3" s="290"/>
      <c r="E3" s="291"/>
      <c r="F3" s="291"/>
      <c r="G3" s="291"/>
      <c r="H3" s="292"/>
      <c r="I3" s="291"/>
      <c r="J3" s="291"/>
      <c r="K3" s="291"/>
      <c r="L3" s="291"/>
      <c r="M3" s="291"/>
      <c r="N3" s="291"/>
      <c r="O3" s="291"/>
      <c r="P3" s="291"/>
      <c r="Q3" s="291"/>
      <c r="R3" s="291"/>
    </row>
    <row r="4" spans="1:18">
      <c r="A4" s="290"/>
      <c r="B4" s="290"/>
      <c r="C4" s="290"/>
      <c r="D4" s="290"/>
      <c r="E4" s="290" t="s">
        <v>136</v>
      </c>
      <c r="F4" s="290" t="s">
        <v>137</v>
      </c>
      <c r="G4" s="290" t="s">
        <v>138</v>
      </c>
      <c r="H4" s="292"/>
      <c r="I4" s="290" t="s">
        <v>139</v>
      </c>
      <c r="J4" s="290"/>
      <c r="K4" s="290"/>
      <c r="L4" s="290"/>
      <c r="M4" s="292" t="s">
        <v>140</v>
      </c>
      <c r="N4" s="290" t="s">
        <v>139</v>
      </c>
      <c r="O4" s="290"/>
      <c r="P4" s="290"/>
      <c r="Q4" s="290"/>
      <c r="R4" s="292" t="s">
        <v>140</v>
      </c>
    </row>
    <row r="5" spans="1:18">
      <c r="A5" s="290"/>
      <c r="B5" s="290"/>
      <c r="C5" s="290"/>
      <c r="D5" s="290"/>
      <c r="E5" s="290"/>
      <c r="F5" s="290"/>
      <c r="G5" s="290"/>
      <c r="H5" s="292"/>
      <c r="I5" s="15">
        <v>46146</v>
      </c>
      <c r="J5" s="15">
        <v>46147</v>
      </c>
      <c r="K5" s="15">
        <v>46148</v>
      </c>
      <c r="L5" s="15">
        <v>46149</v>
      </c>
      <c r="M5" s="292"/>
      <c r="N5" s="15">
        <v>46153</v>
      </c>
      <c r="O5" s="15">
        <v>46154</v>
      </c>
      <c r="P5" s="15">
        <v>46155</v>
      </c>
      <c r="Q5" s="15">
        <v>46156</v>
      </c>
      <c r="R5" s="292"/>
    </row>
    <row r="6" spans="1:18">
      <c r="A6" s="1">
        <v>1</v>
      </c>
      <c r="B6" s="288" t="s">
        <v>141</v>
      </c>
      <c r="C6" s="1" t="s">
        <v>142</v>
      </c>
      <c r="D6" s="1">
        <v>4</v>
      </c>
      <c r="E6" s="1">
        <f>SUM(I6:L6)</f>
        <v>204</v>
      </c>
      <c r="F6" s="1">
        <v>8</v>
      </c>
      <c r="G6" s="1">
        <v>2</v>
      </c>
      <c r="H6" s="1">
        <f>E6/D6</f>
        <v>51</v>
      </c>
      <c r="I6" s="1">
        <v>48</v>
      </c>
      <c r="J6" s="1">
        <v>72</v>
      </c>
      <c r="K6" s="1">
        <v>36</v>
      </c>
      <c r="L6" s="1">
        <v>48</v>
      </c>
      <c r="M6" s="1">
        <f>AVERAGE(I6:L6)</f>
        <v>51</v>
      </c>
      <c r="N6" s="1">
        <v>69</v>
      </c>
      <c r="O6" s="1">
        <v>37</v>
      </c>
      <c r="P6" s="1">
        <v>121</v>
      </c>
      <c r="Q6" s="1">
        <v>99</v>
      </c>
      <c r="R6" s="1">
        <f>AVERAGE(N6:Q6)</f>
        <v>81.5</v>
      </c>
    </row>
    <row r="7" spans="1:18">
      <c r="A7" s="1">
        <v>2</v>
      </c>
      <c r="B7" s="289"/>
      <c r="C7" s="1" t="s">
        <v>35</v>
      </c>
      <c r="D7" s="1">
        <v>4</v>
      </c>
      <c r="E7" s="1">
        <f>SUM(I7:L7)</f>
        <v>360</v>
      </c>
      <c r="F7" s="1">
        <v>100</v>
      </c>
      <c r="G7" s="1">
        <v>2</v>
      </c>
      <c r="H7" s="1">
        <f>E7/D7</f>
        <v>90</v>
      </c>
      <c r="I7" s="1">
        <v>72</v>
      </c>
      <c r="J7" s="1">
        <v>72</v>
      </c>
      <c r="K7" s="1">
        <v>72</v>
      </c>
      <c r="L7" s="1">
        <v>144</v>
      </c>
      <c r="M7" s="1">
        <f>AVERAGE(I7:L7)</f>
        <v>90</v>
      </c>
      <c r="N7" s="1">
        <v>168</v>
      </c>
      <c r="O7" s="1">
        <v>96</v>
      </c>
      <c r="P7" s="1">
        <v>120</v>
      </c>
      <c r="Q7" s="1">
        <v>72</v>
      </c>
      <c r="R7" s="1">
        <f>AVERAGE(N7:Q7)</f>
        <v>114</v>
      </c>
    </row>
    <row r="9" spans="1:18">
      <c r="A9" s="139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</row>
    <row r="10" spans="1:18">
      <c r="A10" s="139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</row>
    <row r="11" spans="1:18">
      <c r="A11" s="139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</row>
    <row r="12" spans="1:18">
      <c r="A12" s="139"/>
      <c r="B12" s="139"/>
      <c r="C12" s="139"/>
      <c r="D12" s="139"/>
      <c r="E12" s="139"/>
      <c r="F12" s="139"/>
      <c r="G12" s="139"/>
      <c r="H12" s="139"/>
      <c r="I12" s="61"/>
      <c r="J12" s="61"/>
      <c r="K12" s="61"/>
      <c r="L12" s="61"/>
      <c r="M12" s="139"/>
      <c r="N12" s="61"/>
      <c r="O12" s="61"/>
      <c r="P12" s="61"/>
      <c r="Q12" s="61"/>
      <c r="R12" s="139"/>
    </row>
    <row r="13" spans="1:18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</row>
    <row r="14" spans="1:18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7" spans="1:18">
      <c r="A17" s="31"/>
    </row>
    <row r="18" spans="1:18">
      <c r="A18" s="139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</row>
    <row r="19" spans="1:18">
      <c r="A19" s="139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</row>
    <row r="20" spans="1:18">
      <c r="A20" s="139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</row>
    <row r="21" spans="1:18">
      <c r="A21" s="139"/>
      <c r="B21" s="139"/>
      <c r="C21" s="139"/>
      <c r="D21" s="139"/>
      <c r="E21" s="139"/>
      <c r="F21" s="139"/>
      <c r="G21" s="139"/>
      <c r="H21" s="139"/>
      <c r="I21" s="61"/>
      <c r="J21" s="61"/>
      <c r="K21" s="61"/>
      <c r="L21" s="61"/>
      <c r="M21" s="139"/>
      <c r="N21" s="61"/>
      <c r="O21" s="61"/>
      <c r="P21" s="61"/>
      <c r="Q21" s="61"/>
      <c r="R21" s="139"/>
    </row>
    <row r="22" spans="1:18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1:18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6" spans="1:18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</row>
    <row r="27" spans="1:18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</row>
    <row r="28" spans="1:18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</row>
    <row r="29" spans="1:18">
      <c r="A29" s="139"/>
      <c r="B29" s="139"/>
      <c r="C29" s="139"/>
      <c r="D29" s="139"/>
      <c r="E29" s="139"/>
      <c r="F29" s="139"/>
      <c r="G29" s="139"/>
      <c r="H29" s="139"/>
      <c r="I29" s="61"/>
      <c r="J29" s="61"/>
      <c r="K29" s="61"/>
      <c r="L29" s="61"/>
      <c r="M29" s="139"/>
      <c r="N29" s="61"/>
      <c r="O29" s="61"/>
      <c r="P29" s="61"/>
      <c r="Q29" s="61"/>
      <c r="R29" s="139"/>
    </row>
    <row r="30" spans="1:18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</row>
    <row r="31" spans="1:18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  <row r="34" spans="1:18">
      <c r="A34" s="31"/>
    </row>
    <row r="35" spans="1:18" ht="15" customHeight="1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</row>
    <row r="36" spans="1:18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</row>
    <row r="37" spans="1:18" ht="15" customHeight="1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</row>
    <row r="38" spans="1:18">
      <c r="A38" s="139"/>
      <c r="B38" s="139"/>
      <c r="C38" s="139"/>
      <c r="D38" s="139"/>
      <c r="E38" s="139"/>
      <c r="F38" s="139"/>
      <c r="G38" s="139"/>
      <c r="H38" s="139"/>
      <c r="I38" s="61"/>
      <c r="J38" s="61"/>
      <c r="K38" s="61"/>
      <c r="L38" s="61"/>
      <c r="M38" s="139"/>
      <c r="N38" s="61"/>
      <c r="O38" s="61"/>
      <c r="P38" s="61"/>
      <c r="Q38" s="61"/>
      <c r="R38" s="139"/>
    </row>
    <row r="39" spans="1:18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</row>
    <row r="40" spans="1:18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</row>
    <row r="42" spans="1:18" ht="15" customHeight="1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</row>
    <row r="43" spans="1:18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</row>
    <row r="44" spans="1:18" ht="15" customHeigh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</row>
    <row r="45" spans="1:18">
      <c r="A45" s="139"/>
      <c r="B45" s="139"/>
      <c r="C45" s="139"/>
      <c r="D45" s="139"/>
      <c r="E45" s="139"/>
      <c r="F45" s="139"/>
      <c r="G45" s="139"/>
      <c r="H45" s="139"/>
      <c r="I45" s="61"/>
      <c r="J45" s="61"/>
      <c r="K45" s="61"/>
      <c r="L45" s="61"/>
      <c r="M45" s="139"/>
      <c r="N45" s="61"/>
      <c r="O45" s="61"/>
      <c r="P45" s="61"/>
      <c r="Q45" s="61"/>
      <c r="R45" s="139"/>
    </row>
    <row r="46" spans="1:18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</row>
    <row r="47" spans="1:18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</row>
    <row r="52" spans="1:31"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</row>
    <row r="53" spans="1:31">
      <c r="S53" s="47"/>
      <c r="T53" s="47"/>
      <c r="U53" s="133"/>
      <c r="V53" s="134"/>
      <c r="W53" s="135"/>
      <c r="X53" s="134"/>
      <c r="Y53" s="47"/>
      <c r="Z53" s="133"/>
      <c r="AA53" s="134"/>
      <c r="AB53" s="135"/>
      <c r="AC53" s="134"/>
      <c r="AD53" s="47"/>
      <c r="AE53" s="134"/>
    </row>
    <row r="54" spans="1:31">
      <c r="S54" s="47"/>
      <c r="T54" s="47"/>
      <c r="U54" s="133"/>
      <c r="V54" s="134"/>
      <c r="W54" s="135"/>
      <c r="X54" s="134"/>
      <c r="Y54" s="47"/>
      <c r="Z54" s="47"/>
      <c r="AA54" s="134"/>
      <c r="AB54" s="135"/>
      <c r="AC54" s="134"/>
      <c r="AD54" s="136"/>
      <c r="AE54" s="134"/>
    </row>
    <row r="55" spans="1:31">
      <c r="S55" s="47"/>
      <c r="T55" s="47"/>
      <c r="U55" s="47"/>
      <c r="V55" s="134"/>
      <c r="W55" s="135"/>
      <c r="X55" s="134"/>
      <c r="Y55" s="47"/>
      <c r="Z55" s="133"/>
      <c r="AA55" s="134"/>
      <c r="AB55" s="135"/>
      <c r="AC55" s="134"/>
      <c r="AD55" s="47"/>
      <c r="AE55" s="134"/>
    </row>
    <row r="56" spans="1:31">
      <c r="S56" s="47"/>
      <c r="T56" s="47"/>
      <c r="U56" s="133"/>
      <c r="V56" s="134"/>
      <c r="W56" s="135"/>
      <c r="X56" s="134"/>
      <c r="Y56" s="47"/>
      <c r="Z56" s="133"/>
      <c r="AA56" s="134"/>
      <c r="AB56" s="135"/>
      <c r="AC56" s="134"/>
      <c r="AD56" s="133"/>
      <c r="AE56" s="134"/>
    </row>
    <row r="57" spans="1:31">
      <c r="S57" s="47"/>
      <c r="T57" s="47"/>
      <c r="U57" s="133"/>
      <c r="V57" s="134"/>
      <c r="W57" s="135"/>
      <c r="X57" s="134"/>
      <c r="Y57" s="47"/>
      <c r="Z57" s="133"/>
      <c r="AA57" s="134"/>
      <c r="AB57" s="135"/>
      <c r="AC57" s="134"/>
      <c r="AD57" s="47"/>
      <c r="AE57" s="134"/>
    </row>
    <row r="60" spans="1:31"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</row>
    <row r="61" spans="1:31">
      <c r="S61" s="49"/>
      <c r="T61" s="47"/>
      <c r="U61" s="47"/>
      <c r="V61" s="134"/>
      <c r="W61" s="135"/>
      <c r="X61" s="134"/>
      <c r="Y61" s="137"/>
      <c r="Z61" s="47"/>
      <c r="AA61" s="47"/>
      <c r="AB61" s="134"/>
      <c r="AC61" s="135"/>
      <c r="AD61" s="134"/>
      <c r="AE61" s="137"/>
    </row>
    <row r="62" spans="1:31">
      <c r="S62" s="49"/>
      <c r="T62" s="47"/>
      <c r="U62" s="47"/>
      <c r="V62" s="134"/>
      <c r="W62" s="135"/>
      <c r="X62" s="134"/>
      <c r="Y62" s="137"/>
      <c r="Z62" s="47"/>
      <c r="AA62" s="47"/>
      <c r="AB62" s="134"/>
      <c r="AC62" s="135"/>
      <c r="AD62" s="134"/>
      <c r="AE62" s="137"/>
    </row>
    <row r="63" spans="1:3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49"/>
      <c r="T63" s="47"/>
      <c r="U63" s="47"/>
      <c r="V63" s="134"/>
      <c r="W63" s="135"/>
      <c r="X63" s="134"/>
      <c r="Y63" s="137"/>
      <c r="Z63" s="47"/>
      <c r="AA63" s="47"/>
      <c r="AB63" s="134"/>
      <c r="AC63" s="135"/>
      <c r="AD63" s="134"/>
      <c r="AE63" s="137"/>
    </row>
    <row r="64" spans="1:3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49"/>
      <c r="T64" s="47"/>
      <c r="U64" s="47"/>
      <c r="V64" s="134"/>
      <c r="W64" s="135"/>
      <c r="X64" s="134"/>
      <c r="Y64" s="137"/>
      <c r="Z64" s="47"/>
      <c r="AA64" s="47"/>
      <c r="AB64" s="134"/>
      <c r="AC64" s="135"/>
      <c r="AD64" s="134"/>
      <c r="AE64" s="137"/>
    </row>
    <row r="65" spans="1:3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49"/>
      <c r="T65" s="47"/>
      <c r="U65" s="47"/>
      <c r="V65" s="134"/>
      <c r="W65" s="135"/>
      <c r="X65" s="134"/>
      <c r="Y65" s="137"/>
      <c r="Z65" s="47"/>
      <c r="AA65" s="47"/>
      <c r="AB65" s="134"/>
      <c r="AC65" s="135"/>
      <c r="AD65" s="134"/>
      <c r="AE65" s="137"/>
    </row>
    <row r="66" spans="1:31">
      <c r="A66" s="139"/>
      <c r="B66" s="139"/>
      <c r="C66" s="139"/>
      <c r="D66" s="139"/>
      <c r="E66" s="139"/>
      <c r="F66" s="139"/>
      <c r="G66" s="139"/>
      <c r="H66" s="139"/>
      <c r="I66" s="61"/>
      <c r="J66" s="61"/>
      <c r="K66" s="61"/>
      <c r="L66" s="61"/>
      <c r="M66" s="139"/>
      <c r="N66" s="61"/>
      <c r="O66" s="61"/>
      <c r="P66" s="61"/>
      <c r="Q66" s="61"/>
      <c r="R66" s="139"/>
    </row>
    <row r="67" spans="1:3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</row>
    <row r="68" spans="1:3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</row>
    <row r="69" spans="1:31">
      <c r="S69" s="49"/>
      <c r="T69" s="47"/>
      <c r="U69" s="47"/>
      <c r="V69" s="135"/>
      <c r="W69" s="135"/>
      <c r="X69" s="134"/>
      <c r="Y69" s="47"/>
      <c r="Z69" s="47"/>
      <c r="AA69" s="135"/>
      <c r="AB69" s="135"/>
      <c r="AC69" s="134"/>
    </row>
    <row r="70" spans="1:31">
      <c r="S70" s="49"/>
      <c r="T70" s="47"/>
      <c r="U70" s="47"/>
      <c r="V70" s="135"/>
      <c r="W70" s="135"/>
      <c r="X70" s="134"/>
      <c r="Y70" s="47"/>
      <c r="Z70" s="47"/>
      <c r="AA70" s="135"/>
      <c r="AB70" s="135"/>
      <c r="AC70" s="134"/>
    </row>
    <row r="71" spans="1:31">
      <c r="S71" s="49"/>
      <c r="T71" s="47"/>
      <c r="U71" s="47"/>
      <c r="V71" s="135"/>
      <c r="W71" s="135"/>
      <c r="X71" s="134"/>
      <c r="Y71" s="47"/>
      <c r="Z71" s="47"/>
      <c r="AA71" s="135"/>
      <c r="AB71" s="135"/>
      <c r="AC71" s="134"/>
    </row>
    <row r="72" spans="1:3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49"/>
      <c r="T72" s="47"/>
      <c r="U72" s="47"/>
      <c r="V72" s="135"/>
      <c r="W72" s="135"/>
      <c r="X72" s="134"/>
      <c r="Y72" s="47"/>
      <c r="Z72" s="47"/>
      <c r="AA72" s="135"/>
      <c r="AB72" s="135"/>
      <c r="AC72" s="134"/>
    </row>
    <row r="73" spans="1:3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49"/>
      <c r="T73" s="47"/>
      <c r="U73" s="47"/>
      <c r="V73" s="135"/>
      <c r="W73" s="135"/>
      <c r="X73" s="134"/>
      <c r="Y73" s="47"/>
      <c r="Z73" s="47"/>
      <c r="AA73" s="135"/>
      <c r="AB73" s="135"/>
      <c r="AC73" s="134"/>
    </row>
    <row r="74" spans="1:3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49"/>
      <c r="T74" s="49"/>
      <c r="U74" s="47"/>
      <c r="V74" s="137"/>
      <c r="W74" s="137"/>
      <c r="X74" s="49"/>
      <c r="Y74" s="49"/>
      <c r="Z74" s="47"/>
      <c r="AA74" s="137"/>
      <c r="AB74" s="137"/>
      <c r="AC74" s="49"/>
    </row>
    <row r="75" spans="1:31">
      <c r="A75" s="139"/>
      <c r="B75" s="139"/>
      <c r="C75" s="139"/>
      <c r="D75" s="139"/>
      <c r="E75" s="139"/>
      <c r="F75" s="139"/>
      <c r="G75" s="139"/>
      <c r="H75" s="139"/>
      <c r="I75" s="61"/>
      <c r="J75" s="61"/>
      <c r="K75" s="61"/>
      <c r="L75" s="61"/>
      <c r="M75" s="139"/>
      <c r="N75" s="61"/>
      <c r="O75" s="61"/>
      <c r="P75" s="61"/>
      <c r="Q75" s="61"/>
      <c r="R75" s="139"/>
    </row>
    <row r="76" spans="1:3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</row>
    <row r="77" spans="1:3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</row>
    <row r="79" spans="1:31" ht="15" customHeight="1"/>
    <row r="81" spans="1:18" ht="15" customHeight="1"/>
    <row r="83" spans="1:18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</row>
    <row r="84" spans="1:18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</row>
    <row r="85" spans="1:18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</row>
    <row r="86" spans="1:18">
      <c r="A86" s="139"/>
      <c r="B86" s="139"/>
      <c r="C86" s="139"/>
      <c r="D86" s="139"/>
      <c r="E86" s="139"/>
      <c r="F86" s="139"/>
      <c r="G86" s="139"/>
      <c r="H86" s="139"/>
      <c r="I86" s="61"/>
      <c r="J86" s="61"/>
      <c r="K86" s="61"/>
      <c r="L86" s="61"/>
      <c r="M86" s="139"/>
      <c r="N86" s="61"/>
      <c r="O86" s="61"/>
      <c r="P86" s="61"/>
      <c r="Q86" s="61"/>
      <c r="R86" s="139"/>
    </row>
    <row r="87" spans="1:18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</row>
    <row r="88" spans="1:1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</row>
    <row r="94" spans="1:18" ht="1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</row>
    <row r="95" spans="1:18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</row>
    <row r="96" spans="1:18" ht="1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</row>
    <row r="97" spans="1:18">
      <c r="A97" s="139"/>
      <c r="B97" s="139"/>
      <c r="C97" s="139"/>
      <c r="D97" s="139"/>
      <c r="E97" s="139"/>
      <c r="F97" s="139"/>
      <c r="G97" s="139"/>
      <c r="H97" s="139"/>
      <c r="I97" s="61"/>
      <c r="J97" s="61"/>
      <c r="K97" s="61"/>
      <c r="L97" s="139"/>
      <c r="M97" s="61"/>
      <c r="N97" s="61"/>
      <c r="O97" s="61"/>
      <c r="P97" s="139"/>
      <c r="Q97" s="61"/>
    </row>
    <row r="98" spans="1:1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</row>
    <row r="99" spans="1:18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</row>
    <row r="108" spans="1:18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</row>
    <row r="109" spans="1:18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</row>
    <row r="110" spans="1:18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</row>
    <row r="111" spans="1:18">
      <c r="A111" s="139"/>
      <c r="B111" s="139"/>
      <c r="C111" s="139"/>
      <c r="D111" s="139"/>
      <c r="E111" s="139"/>
      <c r="F111" s="139"/>
      <c r="G111" s="139"/>
      <c r="H111" s="139"/>
      <c r="I111" s="61"/>
      <c r="J111" s="61"/>
      <c r="K111" s="61"/>
      <c r="L111" s="61"/>
      <c r="M111" s="139"/>
      <c r="N111" s="61"/>
      <c r="O111" s="61"/>
      <c r="P111" s="61"/>
      <c r="Q111" s="61"/>
      <c r="R111" s="139"/>
    </row>
    <row r="112" spans="1:18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</row>
    <row r="113" spans="1:18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</row>
    <row r="119" spans="1:18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</row>
    <row r="120" spans="1:18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</row>
    <row r="121" spans="1:18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</row>
    <row r="122" spans="1:18">
      <c r="A122" s="139"/>
      <c r="B122" s="139"/>
      <c r="C122" s="139"/>
      <c r="D122" s="139"/>
      <c r="E122" s="139"/>
      <c r="F122" s="139"/>
      <c r="G122" s="139"/>
      <c r="H122" s="139"/>
      <c r="I122" s="61"/>
      <c r="J122" s="61"/>
      <c r="K122" s="61"/>
      <c r="L122" s="61"/>
      <c r="M122" s="139"/>
      <c r="N122" s="61"/>
      <c r="O122" s="61"/>
      <c r="P122" s="61"/>
      <c r="Q122" s="61"/>
      <c r="R122" s="139"/>
    </row>
    <row r="123" spans="1:18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</row>
    <row r="124" spans="1:18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</row>
  </sheetData>
  <mergeCells count="15">
    <mergeCell ref="E2:G3"/>
    <mergeCell ref="I2:R3"/>
    <mergeCell ref="E4:E5"/>
    <mergeCell ref="F4:F5"/>
    <mergeCell ref="G4:G5"/>
    <mergeCell ref="I4:L4"/>
    <mergeCell ref="M4:M5"/>
    <mergeCell ref="N4:Q4"/>
    <mergeCell ref="R4:R5"/>
    <mergeCell ref="H2:H5"/>
    <mergeCell ref="B6:B7"/>
    <mergeCell ref="A2:A5"/>
    <mergeCell ref="B2:B5"/>
    <mergeCell ref="C2:C5"/>
    <mergeCell ref="D2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120"/>
  <sheetViews>
    <sheetView workbookViewId="0">
      <selection activeCell="D21" sqref="D21"/>
    </sheetView>
  </sheetViews>
  <sheetFormatPr defaultRowHeight="15"/>
  <cols>
    <col min="1" max="1" width="15.5703125" customWidth="1"/>
    <col min="2" max="2" width="18" customWidth="1"/>
    <col min="3" max="3" width="11.85546875" customWidth="1"/>
    <col min="4" max="4" width="12.140625" customWidth="1"/>
    <col min="5" max="5" width="17.42578125" customWidth="1"/>
    <col min="6" max="6" width="6.5703125" customWidth="1"/>
    <col min="7" max="7" width="5.7109375" customWidth="1"/>
    <col min="8" max="8" width="5.5703125" customWidth="1"/>
    <col min="9" max="9" width="12.5703125" customWidth="1"/>
    <col min="10" max="10" width="12.28515625" customWidth="1"/>
    <col min="11" max="11" width="11.85546875" customWidth="1"/>
    <col min="12" max="12" width="12" customWidth="1"/>
    <col min="13" max="13" width="12.5703125" customWidth="1"/>
    <col min="14" max="14" width="16" customWidth="1"/>
    <col min="15" max="15" width="16.28515625" customWidth="1"/>
    <col min="16" max="16" width="21.5703125" customWidth="1"/>
    <col min="17" max="17" width="22.7109375" customWidth="1"/>
    <col min="18" max="18" width="16" customWidth="1"/>
    <col min="19" max="19" width="17.5703125" customWidth="1"/>
    <col min="20" max="20" width="16.140625" customWidth="1"/>
    <col min="21" max="21" width="13.140625" customWidth="1"/>
    <col min="22" max="22" width="18.28515625" customWidth="1"/>
    <col min="23" max="23" width="10" customWidth="1"/>
    <col min="25" max="25" width="13.5703125" customWidth="1"/>
    <col min="26" max="26" width="19.28515625" customWidth="1"/>
    <col min="27" max="27" width="21.140625" customWidth="1"/>
    <col min="28" max="28" width="12.5703125" customWidth="1"/>
    <col min="31" max="31" width="15.7109375" customWidth="1"/>
    <col min="32" max="32" width="11.7109375" customWidth="1"/>
    <col min="33" max="33" width="14.28515625" customWidth="1"/>
    <col min="36" max="36" width="15.7109375" customWidth="1"/>
    <col min="37" max="37" width="11.7109375" customWidth="1"/>
    <col min="38" max="38" width="12.5703125" customWidth="1"/>
    <col min="41" max="41" width="15.7109375" customWidth="1"/>
    <col min="42" max="42" width="12.140625" customWidth="1"/>
    <col min="43" max="43" width="16.140625" customWidth="1"/>
    <col min="45" max="45" width="12" customWidth="1"/>
    <col min="46" max="46" width="16.28515625" customWidth="1"/>
    <col min="47" max="47" width="13.140625" customWidth="1"/>
    <col min="48" max="48" width="16.85546875" customWidth="1"/>
    <col min="50" max="50" width="15" customWidth="1"/>
    <col min="53" max="53" width="20.140625" customWidth="1"/>
    <col min="54" max="54" width="12.5703125" customWidth="1"/>
  </cols>
  <sheetData>
    <row r="1" spans="1:56" ht="15.75" customHeight="1">
      <c r="A1" s="295"/>
      <c r="B1" s="295"/>
      <c r="C1" s="295"/>
      <c r="D1" s="295"/>
      <c r="E1" s="295"/>
      <c r="F1" s="294"/>
      <c r="G1" s="294"/>
      <c r="H1" s="294"/>
      <c r="I1" s="294"/>
      <c r="J1" s="294"/>
      <c r="K1" s="294"/>
      <c r="L1" s="294"/>
      <c r="M1" s="294"/>
      <c r="N1" s="295"/>
      <c r="O1" s="296"/>
      <c r="P1" s="296"/>
      <c r="Q1" s="296"/>
      <c r="R1" s="296"/>
      <c r="S1" s="296"/>
      <c r="T1" s="296"/>
      <c r="U1" s="297"/>
      <c r="V1" s="297"/>
      <c r="W1" s="295"/>
      <c r="X1" s="95"/>
      <c r="Y1" s="225" t="s">
        <v>143</v>
      </c>
      <c r="Z1" s="225"/>
      <c r="AA1" s="225"/>
      <c r="AB1" s="225"/>
      <c r="AC1" s="48"/>
      <c r="AD1" s="225" t="s">
        <v>144</v>
      </c>
      <c r="AE1" s="225"/>
      <c r="AF1" s="225"/>
      <c r="AG1" s="225"/>
      <c r="AI1" s="225" t="s">
        <v>6</v>
      </c>
      <c r="AJ1" s="225"/>
      <c r="AK1" s="225"/>
      <c r="AL1" s="225"/>
      <c r="AN1" s="225" t="s">
        <v>145</v>
      </c>
      <c r="AO1" s="225"/>
      <c r="AP1" s="225"/>
      <c r="AQ1" s="225"/>
      <c r="AR1" s="44"/>
      <c r="AS1" s="225" t="s">
        <v>67</v>
      </c>
      <c r="AT1" s="225"/>
      <c r="AU1" s="225"/>
      <c r="AV1" s="225"/>
      <c r="AW1" s="44"/>
      <c r="AX1" s="225" t="s">
        <v>68</v>
      </c>
      <c r="AY1" s="225"/>
      <c r="AZ1" s="225"/>
      <c r="BA1" s="225"/>
      <c r="BC1" s="44"/>
      <c r="BD1" s="44"/>
    </row>
    <row r="2" spans="1:56" ht="31.5" customHeight="1">
      <c r="A2" s="295"/>
      <c r="B2" s="295"/>
      <c r="C2" s="295"/>
      <c r="D2" s="295"/>
      <c r="E2" s="295"/>
      <c r="F2" s="93"/>
      <c r="G2" s="93"/>
      <c r="H2" s="93"/>
      <c r="I2" s="93"/>
      <c r="J2" s="93"/>
      <c r="K2" s="93"/>
      <c r="L2" s="93"/>
      <c r="M2" s="93"/>
      <c r="N2" s="295"/>
      <c r="O2" s="296"/>
      <c r="P2" s="296"/>
      <c r="Q2" s="296"/>
      <c r="R2" s="296"/>
      <c r="S2" s="296"/>
      <c r="T2" s="296"/>
      <c r="U2" s="297"/>
      <c r="V2" s="297"/>
      <c r="W2" s="295"/>
      <c r="X2" s="95"/>
      <c r="Y2" s="41" t="s">
        <v>22</v>
      </c>
      <c r="Z2" s="46" t="s">
        <v>23</v>
      </c>
      <c r="AA2" s="41" t="s">
        <v>24</v>
      </c>
      <c r="AB2" s="41" t="s">
        <v>25</v>
      </c>
      <c r="AC2" s="49"/>
      <c r="AD2" s="41" t="s">
        <v>22</v>
      </c>
      <c r="AE2" s="46" t="s">
        <v>23</v>
      </c>
      <c r="AF2" s="41" t="s">
        <v>24</v>
      </c>
      <c r="AG2" s="41" t="s">
        <v>25</v>
      </c>
      <c r="AI2" s="41" t="s">
        <v>22</v>
      </c>
      <c r="AJ2" s="46" t="s">
        <v>23</v>
      </c>
      <c r="AK2" s="41" t="s">
        <v>24</v>
      </c>
      <c r="AL2" s="41" t="s">
        <v>25</v>
      </c>
      <c r="AN2" s="41" t="s">
        <v>22</v>
      </c>
      <c r="AO2" s="46" t="s">
        <v>23</v>
      </c>
      <c r="AP2" s="41" t="s">
        <v>24</v>
      </c>
      <c r="AQ2" s="41" t="s">
        <v>25</v>
      </c>
      <c r="AR2" s="49"/>
      <c r="AS2" s="41" t="s">
        <v>22</v>
      </c>
      <c r="AT2" s="46" t="s">
        <v>23</v>
      </c>
      <c r="AU2" s="41" t="s">
        <v>24</v>
      </c>
      <c r="AV2" s="41" t="s">
        <v>25</v>
      </c>
      <c r="AW2" s="49"/>
      <c r="AX2" s="41" t="s">
        <v>22</v>
      </c>
      <c r="AY2" s="46" t="s">
        <v>23</v>
      </c>
      <c r="AZ2" s="41" t="s">
        <v>24</v>
      </c>
      <c r="BA2" s="41" t="s">
        <v>25</v>
      </c>
      <c r="BC2" s="49"/>
      <c r="BD2" s="49"/>
    </row>
    <row r="3" spans="1:56">
      <c r="A3" s="293"/>
      <c r="B3" s="97"/>
      <c r="C3" s="96"/>
      <c r="D3" s="97"/>
      <c r="E3" s="98"/>
      <c r="F3" s="99"/>
      <c r="G3" s="99"/>
      <c r="H3" s="99"/>
      <c r="I3" s="99"/>
      <c r="J3" s="99"/>
      <c r="K3" s="99"/>
      <c r="L3" s="99"/>
      <c r="M3" s="99"/>
      <c r="N3" s="97"/>
      <c r="O3" s="100"/>
      <c r="P3" s="98"/>
      <c r="Q3" s="101"/>
      <c r="R3" s="96"/>
      <c r="S3" s="102"/>
      <c r="T3" s="103"/>
      <c r="U3" s="104"/>
      <c r="V3" s="104"/>
      <c r="W3" s="105"/>
      <c r="X3" s="95"/>
      <c r="Y3" s="42">
        <v>46082</v>
      </c>
      <c r="Z3" s="1" t="s">
        <v>30</v>
      </c>
      <c r="AA3" s="40"/>
      <c r="AB3" s="43"/>
      <c r="AC3" s="47"/>
      <c r="AD3" s="42">
        <v>46082</v>
      </c>
      <c r="AE3" s="1" t="s">
        <v>30</v>
      </c>
      <c r="AF3" s="51"/>
      <c r="AG3" s="51"/>
      <c r="AI3" s="42">
        <v>46082</v>
      </c>
      <c r="AJ3" s="1" t="s">
        <v>146</v>
      </c>
      <c r="AK3" s="40"/>
      <c r="AL3" s="43"/>
      <c r="AN3" s="42">
        <v>46082</v>
      </c>
      <c r="AO3" s="1" t="s">
        <v>146</v>
      </c>
      <c r="AP3" s="40"/>
      <c r="AQ3" s="43"/>
      <c r="AR3" s="50"/>
      <c r="AS3" s="42">
        <v>46082</v>
      </c>
      <c r="AT3" s="1" t="s">
        <v>146</v>
      </c>
      <c r="AU3" s="1"/>
      <c r="AV3" s="1"/>
      <c r="AW3" s="47"/>
      <c r="AX3" s="42">
        <v>46082</v>
      </c>
      <c r="AY3" s="1" t="s">
        <v>146</v>
      </c>
      <c r="AZ3" s="40"/>
      <c r="BA3" s="43"/>
      <c r="BC3" s="47"/>
      <c r="BD3" s="50"/>
    </row>
    <row r="4" spans="1:56">
      <c r="A4" s="293"/>
      <c r="B4" s="97"/>
      <c r="C4" s="96"/>
      <c r="D4" s="97"/>
      <c r="E4" s="98"/>
      <c r="F4" s="99"/>
      <c r="G4" s="99"/>
      <c r="H4" s="99"/>
      <c r="I4" s="99"/>
      <c r="J4" s="99"/>
      <c r="K4" s="99"/>
      <c r="L4" s="99"/>
      <c r="M4" s="99"/>
      <c r="N4" s="97"/>
      <c r="O4" s="100"/>
      <c r="P4" s="98"/>
      <c r="Q4" s="101"/>
      <c r="R4" s="96"/>
      <c r="S4" s="102"/>
      <c r="T4" s="103"/>
      <c r="U4" s="104"/>
      <c r="V4" s="104"/>
      <c r="W4" s="105"/>
      <c r="X4" s="95"/>
      <c r="Y4" s="42">
        <v>46083</v>
      </c>
      <c r="Z4" s="1">
        <v>1</v>
      </c>
      <c r="AA4" s="40">
        <v>96</v>
      </c>
      <c r="AB4" s="43">
        <v>480000</v>
      </c>
      <c r="AC4" s="47"/>
      <c r="AD4" s="42">
        <v>46083</v>
      </c>
      <c r="AE4" s="1">
        <v>1</v>
      </c>
      <c r="AF4" s="40">
        <v>72</v>
      </c>
      <c r="AG4" s="43">
        <v>360000</v>
      </c>
      <c r="AI4" s="42">
        <v>46083</v>
      </c>
      <c r="AJ4" s="1">
        <v>1</v>
      </c>
      <c r="AK4" s="40">
        <v>72</v>
      </c>
      <c r="AL4" s="43">
        <v>360000</v>
      </c>
      <c r="AN4" s="42">
        <v>46083</v>
      </c>
      <c r="AO4" s="1">
        <v>1</v>
      </c>
      <c r="AP4" s="40">
        <v>72</v>
      </c>
      <c r="AQ4" s="43">
        <v>354000</v>
      </c>
      <c r="AR4" s="50"/>
      <c r="AS4" s="42">
        <v>46083</v>
      </c>
      <c r="AT4" s="1">
        <v>1</v>
      </c>
      <c r="AU4" s="40">
        <v>24</v>
      </c>
      <c r="AV4" s="43">
        <v>132000</v>
      </c>
      <c r="AW4" s="47"/>
      <c r="AX4" s="42">
        <v>46083</v>
      </c>
      <c r="AY4" s="1">
        <v>1</v>
      </c>
      <c r="AZ4" s="40">
        <v>48</v>
      </c>
      <c r="BA4" s="43">
        <v>264000</v>
      </c>
      <c r="BC4" s="47"/>
      <c r="BD4" s="50"/>
    </row>
    <row r="5" spans="1:56">
      <c r="A5" s="293"/>
      <c r="B5" s="97"/>
      <c r="C5" s="96"/>
      <c r="D5" s="97"/>
      <c r="E5" s="98"/>
      <c r="F5" s="99"/>
      <c r="G5" s="99"/>
      <c r="H5" s="99"/>
      <c r="I5" s="99"/>
      <c r="J5" s="99"/>
      <c r="K5" s="99"/>
      <c r="L5" s="99"/>
      <c r="M5" s="99"/>
      <c r="N5" s="97"/>
      <c r="O5" s="100"/>
      <c r="P5" s="98"/>
      <c r="Q5" s="101"/>
      <c r="R5" s="96"/>
      <c r="S5" s="102"/>
      <c r="T5" s="103"/>
      <c r="U5" s="104"/>
      <c r="V5" s="104"/>
      <c r="W5" s="105"/>
      <c r="X5" s="95"/>
      <c r="Y5" s="42">
        <v>46084</v>
      </c>
      <c r="Z5" s="1">
        <v>1</v>
      </c>
      <c r="AA5" s="40">
        <v>72</v>
      </c>
      <c r="AB5" s="43">
        <v>360000</v>
      </c>
      <c r="AC5" s="47"/>
      <c r="AD5" s="42">
        <v>46084</v>
      </c>
      <c r="AE5" s="1">
        <v>1</v>
      </c>
      <c r="AF5" s="1">
        <v>48</v>
      </c>
      <c r="AG5" s="43">
        <v>240000</v>
      </c>
      <c r="AI5" s="42">
        <v>46084</v>
      </c>
      <c r="AJ5" s="1">
        <v>1</v>
      </c>
      <c r="AK5" s="40">
        <v>72</v>
      </c>
      <c r="AL5" s="43">
        <v>360000</v>
      </c>
      <c r="AN5" s="42">
        <v>46084</v>
      </c>
      <c r="AO5" s="1">
        <v>1</v>
      </c>
      <c r="AP5" s="40">
        <v>96</v>
      </c>
      <c r="AQ5" s="43">
        <v>462000</v>
      </c>
      <c r="AR5" s="50"/>
      <c r="AS5" s="42">
        <v>46084</v>
      </c>
      <c r="AT5" s="1">
        <v>1</v>
      </c>
      <c r="AU5" s="40">
        <v>96</v>
      </c>
      <c r="AV5" s="43">
        <v>528000</v>
      </c>
      <c r="AW5" s="47"/>
      <c r="AX5" s="42">
        <v>46084</v>
      </c>
      <c r="AY5" s="1">
        <v>1</v>
      </c>
      <c r="AZ5" s="40">
        <v>24</v>
      </c>
      <c r="BA5" s="43">
        <v>132000</v>
      </c>
      <c r="BC5" s="47"/>
      <c r="BD5" s="50"/>
    </row>
    <row r="6" spans="1:56">
      <c r="A6" s="293"/>
      <c r="B6" s="97"/>
      <c r="C6" s="96"/>
      <c r="D6" s="97"/>
      <c r="E6" s="98"/>
      <c r="F6" s="99"/>
      <c r="G6" s="99"/>
      <c r="H6" s="99"/>
      <c r="I6" s="99"/>
      <c r="J6" s="99"/>
      <c r="K6" s="99"/>
      <c r="L6" s="99"/>
      <c r="M6" s="99"/>
      <c r="N6" s="97"/>
      <c r="O6" s="100"/>
      <c r="P6" s="98"/>
      <c r="Q6" s="101"/>
      <c r="R6" s="96"/>
      <c r="S6" s="102"/>
      <c r="T6" s="103"/>
      <c r="U6" s="104"/>
      <c r="V6" s="104"/>
      <c r="W6" s="105"/>
      <c r="X6" s="95"/>
      <c r="Y6" s="42">
        <v>46085</v>
      </c>
      <c r="Z6" s="1" t="s">
        <v>147</v>
      </c>
      <c r="AA6" s="40"/>
      <c r="AB6" s="43"/>
      <c r="AC6" s="47"/>
      <c r="AD6" s="42">
        <v>46085</v>
      </c>
      <c r="AE6" s="1">
        <v>1</v>
      </c>
      <c r="AF6" s="40">
        <v>48</v>
      </c>
      <c r="AG6" s="43">
        <v>240000</v>
      </c>
      <c r="AI6" s="42">
        <v>46085</v>
      </c>
      <c r="AJ6" s="1">
        <v>1</v>
      </c>
      <c r="AK6" s="40">
        <v>72</v>
      </c>
      <c r="AL6" s="43">
        <v>360000</v>
      </c>
      <c r="AN6" s="42">
        <v>46085</v>
      </c>
      <c r="AO6" s="1">
        <v>1</v>
      </c>
      <c r="AP6" s="40">
        <v>96</v>
      </c>
      <c r="AQ6" s="43">
        <v>474000</v>
      </c>
      <c r="AR6" s="50"/>
      <c r="AS6" s="42">
        <v>46085</v>
      </c>
      <c r="AT6" s="1">
        <v>1</v>
      </c>
      <c r="AU6" s="40">
        <v>96</v>
      </c>
      <c r="AV6" s="43">
        <v>528000</v>
      </c>
      <c r="AW6" s="47"/>
      <c r="AX6" s="42">
        <v>46085</v>
      </c>
      <c r="AY6" s="1">
        <v>1</v>
      </c>
      <c r="AZ6" s="40">
        <v>48</v>
      </c>
      <c r="BA6" s="43">
        <v>264000</v>
      </c>
      <c r="BC6" s="47"/>
      <c r="BD6" s="50"/>
    </row>
    <row r="7" spans="1:56">
      <c r="A7" s="295"/>
      <c r="B7" s="295"/>
      <c r="C7" s="92"/>
      <c r="D7" s="92"/>
      <c r="E7" s="106"/>
      <c r="F7" s="107"/>
      <c r="G7" s="107"/>
      <c r="H7" s="107"/>
      <c r="I7" s="107"/>
      <c r="J7" s="107"/>
      <c r="K7" s="107"/>
      <c r="L7" s="107"/>
      <c r="M7" s="107"/>
      <c r="N7" s="92"/>
      <c r="O7" s="92"/>
      <c r="P7" s="106"/>
      <c r="Q7" s="108"/>
      <c r="R7" s="109"/>
      <c r="S7" s="110"/>
      <c r="T7" s="111"/>
      <c r="U7" s="97"/>
      <c r="V7" s="112"/>
      <c r="W7" s="92"/>
      <c r="X7" s="95"/>
      <c r="Y7" s="42">
        <v>46086</v>
      </c>
      <c r="Z7" s="1">
        <v>1</v>
      </c>
      <c r="AA7" s="40">
        <v>72</v>
      </c>
      <c r="AB7" s="43">
        <v>360000</v>
      </c>
      <c r="AC7" s="47"/>
      <c r="AD7" s="42">
        <v>46086</v>
      </c>
      <c r="AE7" s="1">
        <v>1</v>
      </c>
      <c r="AF7" s="40">
        <v>72</v>
      </c>
      <c r="AG7" s="43">
        <v>360000</v>
      </c>
      <c r="AI7" s="42">
        <v>46086</v>
      </c>
      <c r="AJ7" s="1">
        <v>1</v>
      </c>
      <c r="AK7" s="40">
        <v>48</v>
      </c>
      <c r="AL7" s="43">
        <v>240000</v>
      </c>
      <c r="AN7" s="42">
        <v>46086</v>
      </c>
      <c r="AO7" s="1">
        <v>1</v>
      </c>
      <c r="AP7" s="40">
        <v>240</v>
      </c>
      <c r="AQ7" s="43">
        <v>1152000</v>
      </c>
      <c r="AR7" s="50"/>
      <c r="AS7" s="42">
        <v>46086</v>
      </c>
      <c r="AT7" s="1">
        <v>1</v>
      </c>
      <c r="AU7" s="40">
        <v>72</v>
      </c>
      <c r="AV7" s="43">
        <v>369000</v>
      </c>
      <c r="AW7" s="47"/>
      <c r="AX7" s="42">
        <v>46086</v>
      </c>
      <c r="AY7" s="1">
        <v>1</v>
      </c>
      <c r="AZ7" s="40">
        <v>72</v>
      </c>
      <c r="BA7" s="43">
        <v>369000</v>
      </c>
      <c r="BC7" s="47"/>
      <c r="BD7" s="50"/>
    </row>
    <row r="8" spans="1:56">
      <c r="A8" s="293"/>
      <c r="B8" s="97"/>
      <c r="C8" s="96"/>
      <c r="D8" s="97"/>
      <c r="E8" s="98"/>
      <c r="F8" s="99"/>
      <c r="G8" s="99"/>
      <c r="H8" s="99"/>
      <c r="I8" s="99"/>
      <c r="J8" s="99"/>
      <c r="K8" s="99"/>
      <c r="L8" s="99"/>
      <c r="M8" s="99"/>
      <c r="N8" s="97"/>
      <c r="O8" s="97"/>
      <c r="P8" s="98"/>
      <c r="Q8" s="113"/>
      <c r="R8" s="96"/>
      <c r="S8" s="102"/>
      <c r="T8" s="103"/>
      <c r="U8" s="104"/>
      <c r="V8" s="102"/>
      <c r="W8" s="105"/>
      <c r="X8" s="95"/>
      <c r="Y8" s="42">
        <v>46087</v>
      </c>
      <c r="Z8" s="1">
        <v>1</v>
      </c>
      <c r="AA8" s="40">
        <v>72</v>
      </c>
      <c r="AB8" s="43">
        <v>360000</v>
      </c>
      <c r="AC8" s="47"/>
      <c r="AD8" s="42">
        <v>46087</v>
      </c>
      <c r="AE8" s="1">
        <v>1</v>
      </c>
      <c r="AF8" s="40">
        <v>72</v>
      </c>
      <c r="AG8" s="43">
        <v>360000</v>
      </c>
      <c r="AI8" s="42">
        <v>46087</v>
      </c>
      <c r="AJ8" s="1">
        <v>1</v>
      </c>
      <c r="AK8" s="40">
        <v>96</v>
      </c>
      <c r="AL8" s="43">
        <v>480000</v>
      </c>
      <c r="AN8" s="42">
        <v>46087</v>
      </c>
      <c r="AO8" s="1">
        <v>1</v>
      </c>
      <c r="AP8" s="40">
        <v>96</v>
      </c>
      <c r="AQ8" s="43">
        <v>480000</v>
      </c>
      <c r="AR8" s="50"/>
      <c r="AS8" s="42">
        <v>46087</v>
      </c>
      <c r="AT8" s="1" t="s">
        <v>34</v>
      </c>
      <c r="AU8" s="40"/>
      <c r="AV8" s="43"/>
      <c r="AW8" s="47"/>
      <c r="AX8" s="42">
        <v>46087</v>
      </c>
      <c r="AY8" s="1">
        <v>1</v>
      </c>
      <c r="AZ8" s="40">
        <v>72</v>
      </c>
      <c r="BA8" s="43">
        <v>369000</v>
      </c>
      <c r="BC8" s="47"/>
      <c r="BD8" s="50"/>
    </row>
    <row r="9" spans="1:56">
      <c r="A9" s="293"/>
      <c r="B9" s="97"/>
      <c r="C9" s="96"/>
      <c r="D9" s="97"/>
      <c r="E9" s="98"/>
      <c r="F9" s="99"/>
      <c r="G9" s="99"/>
      <c r="H9" s="99"/>
      <c r="I9" s="99"/>
      <c r="J9" s="99"/>
      <c r="K9" s="99"/>
      <c r="L9" s="99"/>
      <c r="M9" s="99"/>
      <c r="N9" s="97"/>
      <c r="O9" s="100"/>
      <c r="P9" s="98"/>
      <c r="Q9" s="113"/>
      <c r="R9" s="112"/>
      <c r="S9" s="102"/>
      <c r="T9" s="103"/>
      <c r="U9" s="104"/>
      <c r="V9" s="102"/>
      <c r="W9" s="105"/>
      <c r="X9" s="95"/>
      <c r="Y9" s="42">
        <v>46088</v>
      </c>
      <c r="Z9" s="1">
        <v>1</v>
      </c>
      <c r="AA9" s="40">
        <v>120</v>
      </c>
      <c r="AB9" s="43">
        <v>575000</v>
      </c>
      <c r="AC9" s="47"/>
      <c r="AD9" s="42">
        <v>46088</v>
      </c>
      <c r="AE9" s="1">
        <v>1</v>
      </c>
      <c r="AF9" s="40">
        <v>96</v>
      </c>
      <c r="AG9" s="43">
        <v>480000</v>
      </c>
      <c r="AI9" s="42">
        <v>46088</v>
      </c>
      <c r="AJ9" s="1">
        <v>1</v>
      </c>
      <c r="AK9" s="40">
        <v>96</v>
      </c>
      <c r="AL9" s="43">
        <v>480000</v>
      </c>
      <c r="AN9" s="42">
        <v>46088</v>
      </c>
      <c r="AO9" s="1">
        <v>1</v>
      </c>
      <c r="AP9" s="40">
        <v>53</v>
      </c>
      <c r="AQ9" s="43">
        <v>259000</v>
      </c>
      <c r="AR9" s="50"/>
      <c r="AS9" s="42">
        <v>46088</v>
      </c>
      <c r="AT9" s="1">
        <v>1</v>
      </c>
      <c r="AU9" s="1">
        <v>72</v>
      </c>
      <c r="AV9" s="43">
        <v>369000</v>
      </c>
      <c r="AW9" s="47"/>
      <c r="AX9" s="42">
        <v>46088</v>
      </c>
      <c r="AY9" s="1">
        <v>1</v>
      </c>
      <c r="AZ9" s="40">
        <v>72</v>
      </c>
      <c r="BA9" s="43">
        <v>369000</v>
      </c>
      <c r="BC9" s="47"/>
      <c r="BD9" s="50"/>
    </row>
    <row r="10" spans="1:56">
      <c r="A10" s="295"/>
      <c r="B10" s="295"/>
      <c r="C10" s="92"/>
      <c r="D10" s="92"/>
      <c r="E10" s="106"/>
      <c r="F10" s="114"/>
      <c r="G10" s="114"/>
      <c r="H10" s="114"/>
      <c r="I10" s="114"/>
      <c r="J10" s="114"/>
      <c r="K10" s="114"/>
      <c r="L10" s="114"/>
      <c r="M10" s="114"/>
      <c r="N10" s="92"/>
      <c r="O10" s="92"/>
      <c r="P10" s="106"/>
      <c r="Q10" s="108"/>
      <c r="R10" s="107"/>
      <c r="S10" s="110"/>
      <c r="T10" s="111"/>
      <c r="U10" s="97"/>
      <c r="V10" s="112"/>
      <c r="W10" s="92"/>
      <c r="X10" s="95"/>
      <c r="Y10" s="42">
        <v>46089</v>
      </c>
      <c r="Z10" s="1">
        <v>1</v>
      </c>
      <c r="AA10" s="40">
        <v>48</v>
      </c>
      <c r="AB10" s="43">
        <v>240000</v>
      </c>
      <c r="AC10" s="47"/>
      <c r="AD10" s="42">
        <v>46089</v>
      </c>
      <c r="AE10" s="1">
        <v>1</v>
      </c>
      <c r="AF10" s="22">
        <v>72</v>
      </c>
      <c r="AG10" s="43">
        <v>360000</v>
      </c>
      <c r="AI10" s="42">
        <v>46089</v>
      </c>
      <c r="AJ10" s="1">
        <v>1</v>
      </c>
      <c r="AK10" s="40">
        <v>168</v>
      </c>
      <c r="AL10" s="43">
        <v>840000</v>
      </c>
      <c r="AN10" s="42">
        <v>46089</v>
      </c>
      <c r="AO10" s="1" t="s">
        <v>146</v>
      </c>
      <c r="AP10" s="40"/>
      <c r="AQ10" s="43"/>
      <c r="AR10" s="50"/>
      <c r="AS10" s="42">
        <v>46089</v>
      </c>
      <c r="AT10" s="1">
        <v>1</v>
      </c>
      <c r="AU10" s="1">
        <v>96</v>
      </c>
      <c r="AV10" s="6">
        <v>528000</v>
      </c>
      <c r="AW10" s="47"/>
      <c r="AX10" s="42">
        <v>46089</v>
      </c>
      <c r="AY10" s="1" t="s">
        <v>146</v>
      </c>
      <c r="AZ10" s="40"/>
      <c r="BA10" s="43"/>
      <c r="BC10" s="47"/>
      <c r="BD10" s="50"/>
    </row>
    <row r="11" spans="1:56">
      <c r="A11" s="293"/>
      <c r="B11" s="97"/>
      <c r="C11" s="96"/>
      <c r="D11" s="97"/>
      <c r="E11" s="98"/>
      <c r="F11" s="99"/>
      <c r="G11" s="99"/>
      <c r="H11" s="99"/>
      <c r="I11" s="99"/>
      <c r="J11" s="99"/>
      <c r="K11" s="99"/>
      <c r="L11" s="99"/>
      <c r="M11" s="99"/>
      <c r="N11" s="97"/>
      <c r="O11" s="100"/>
      <c r="P11" s="98"/>
      <c r="Q11" s="115"/>
      <c r="R11" s="112"/>
      <c r="S11" s="102"/>
      <c r="T11" s="103"/>
      <c r="U11" s="104"/>
      <c r="V11" s="102"/>
      <c r="W11" s="105"/>
      <c r="X11" s="95"/>
      <c r="Y11" s="42">
        <v>46090</v>
      </c>
      <c r="Z11" s="1">
        <v>1</v>
      </c>
      <c r="AA11" s="40">
        <v>96</v>
      </c>
      <c r="AB11" s="43">
        <v>480000</v>
      </c>
      <c r="AC11" s="47"/>
      <c r="AD11" s="42">
        <v>46090</v>
      </c>
      <c r="AE11" s="1">
        <v>1</v>
      </c>
      <c r="AF11" s="22">
        <v>72</v>
      </c>
      <c r="AG11" s="43">
        <v>360000</v>
      </c>
      <c r="AI11" s="42">
        <v>46090</v>
      </c>
      <c r="AJ11" s="1">
        <v>1</v>
      </c>
      <c r="AK11" s="40">
        <v>96</v>
      </c>
      <c r="AL11" s="43">
        <v>480000</v>
      </c>
      <c r="AN11" s="42">
        <v>46090</v>
      </c>
      <c r="AO11" s="1">
        <v>1</v>
      </c>
      <c r="AP11" s="40">
        <v>40</v>
      </c>
      <c r="AQ11" s="43">
        <v>200000</v>
      </c>
      <c r="AR11" s="50"/>
      <c r="AS11" s="42">
        <v>46090</v>
      </c>
      <c r="AT11" s="1">
        <v>1</v>
      </c>
      <c r="AU11" s="1">
        <v>72</v>
      </c>
      <c r="AV11" s="43">
        <v>369000</v>
      </c>
      <c r="AW11" s="47"/>
      <c r="AX11" s="42">
        <v>46090</v>
      </c>
      <c r="AY11" s="1">
        <v>1</v>
      </c>
      <c r="AZ11" s="40">
        <v>96</v>
      </c>
      <c r="BA11" s="43">
        <v>528000</v>
      </c>
      <c r="BC11" s="47"/>
      <c r="BD11" s="50"/>
    </row>
    <row r="12" spans="1:56">
      <c r="A12" s="293"/>
      <c r="B12" s="97"/>
      <c r="C12" s="97"/>
      <c r="D12" s="97"/>
      <c r="E12" s="103"/>
      <c r="F12" s="99"/>
      <c r="G12" s="99"/>
      <c r="H12" s="99"/>
      <c r="I12" s="99"/>
      <c r="J12" s="99"/>
      <c r="K12" s="99"/>
      <c r="L12" s="99"/>
      <c r="M12" s="99"/>
      <c r="N12" s="97"/>
      <c r="O12" s="97"/>
      <c r="P12" s="103"/>
      <c r="Q12" s="115"/>
      <c r="R12" s="112"/>
      <c r="S12" s="102"/>
      <c r="T12" s="103"/>
      <c r="U12" s="104"/>
      <c r="V12" s="102"/>
      <c r="W12" s="116"/>
      <c r="X12" s="95"/>
      <c r="Y12" s="42">
        <v>46091</v>
      </c>
      <c r="Z12" s="1">
        <v>1</v>
      </c>
      <c r="AA12" s="40">
        <v>72</v>
      </c>
      <c r="AB12" s="43">
        <v>360000</v>
      </c>
      <c r="AC12" s="47"/>
      <c r="AD12" s="42">
        <v>46091</v>
      </c>
      <c r="AE12" s="1">
        <v>1</v>
      </c>
      <c r="AF12" s="22">
        <v>48</v>
      </c>
      <c r="AG12" s="43">
        <v>240000</v>
      </c>
      <c r="AI12" s="42">
        <v>46091</v>
      </c>
      <c r="AJ12" s="1">
        <v>1</v>
      </c>
      <c r="AK12" s="40">
        <v>72</v>
      </c>
      <c r="AL12" s="43">
        <v>360000</v>
      </c>
      <c r="AN12" s="42">
        <v>46091</v>
      </c>
      <c r="AO12" s="1">
        <v>1</v>
      </c>
      <c r="AP12" s="40">
        <v>42</v>
      </c>
      <c r="AQ12" s="43">
        <v>210000</v>
      </c>
      <c r="AR12" s="50"/>
      <c r="AS12" s="42">
        <v>46091</v>
      </c>
      <c r="AT12" s="1">
        <v>1</v>
      </c>
      <c r="AU12" s="40">
        <v>96</v>
      </c>
      <c r="AV12" s="6">
        <v>528000</v>
      </c>
      <c r="AW12" s="47"/>
      <c r="AX12" s="42">
        <v>46091</v>
      </c>
      <c r="AY12" s="1">
        <v>1</v>
      </c>
      <c r="AZ12" s="40">
        <v>144</v>
      </c>
      <c r="BA12" s="43">
        <v>792000</v>
      </c>
      <c r="BC12" s="47"/>
      <c r="BD12" s="50"/>
    </row>
    <row r="13" spans="1:56">
      <c r="A13" s="295"/>
      <c r="B13" s="295"/>
      <c r="C13" s="109"/>
      <c r="D13" s="92"/>
      <c r="E13" s="106"/>
      <c r="F13" s="107"/>
      <c r="G13" s="107"/>
      <c r="H13" s="107"/>
      <c r="I13" s="107"/>
      <c r="J13" s="107"/>
      <c r="K13" s="107"/>
      <c r="L13" s="107"/>
      <c r="M13" s="107"/>
      <c r="N13" s="92"/>
      <c r="O13" s="117"/>
      <c r="P13" s="106"/>
      <c r="Q13" s="108"/>
      <c r="R13" s="107"/>
      <c r="S13" s="110"/>
      <c r="T13" s="111"/>
      <c r="U13" s="97"/>
      <c r="V13" s="112"/>
      <c r="W13" s="92"/>
      <c r="X13" s="95"/>
      <c r="Y13" s="42">
        <v>46092</v>
      </c>
      <c r="Z13" s="1">
        <v>1</v>
      </c>
      <c r="AA13" s="40">
        <v>48</v>
      </c>
      <c r="AB13" s="43">
        <v>240000</v>
      </c>
      <c r="AC13" s="47"/>
      <c r="AD13" s="42">
        <v>46092</v>
      </c>
      <c r="AE13" s="1">
        <v>1</v>
      </c>
      <c r="AF13" s="40">
        <v>144</v>
      </c>
      <c r="AG13" s="43">
        <v>720000</v>
      </c>
      <c r="AI13" s="42">
        <v>46092</v>
      </c>
      <c r="AJ13" s="1">
        <v>1</v>
      </c>
      <c r="AK13" s="40">
        <v>48</v>
      </c>
      <c r="AL13" s="43">
        <v>260000</v>
      </c>
      <c r="AN13" s="42">
        <v>46092</v>
      </c>
      <c r="AO13" s="1">
        <v>1</v>
      </c>
      <c r="AP13" s="40">
        <v>48</v>
      </c>
      <c r="AQ13" s="43">
        <v>228000</v>
      </c>
      <c r="AR13" s="50"/>
      <c r="AS13" s="42">
        <v>46092</v>
      </c>
      <c r="AT13" s="1">
        <v>1</v>
      </c>
      <c r="AU13" s="40">
        <v>72</v>
      </c>
      <c r="AV13" s="43">
        <v>396000</v>
      </c>
      <c r="AW13" s="47"/>
      <c r="AX13" s="42">
        <v>46092</v>
      </c>
      <c r="AY13" s="1">
        <v>1</v>
      </c>
      <c r="AZ13" s="40">
        <v>24</v>
      </c>
      <c r="BA13" s="43">
        <v>132000</v>
      </c>
      <c r="BC13" s="47"/>
      <c r="BD13" s="50"/>
    </row>
    <row r="14" spans="1:56">
      <c r="A14" s="97"/>
      <c r="B14" s="97"/>
      <c r="C14" s="96"/>
      <c r="D14" s="97"/>
      <c r="E14" s="118"/>
      <c r="F14" s="99"/>
      <c r="G14" s="99"/>
      <c r="H14" s="99"/>
      <c r="I14" s="99"/>
      <c r="J14" s="99"/>
      <c r="K14" s="99"/>
      <c r="L14" s="99"/>
      <c r="M14" s="99"/>
      <c r="N14" s="97"/>
      <c r="O14" s="100"/>
      <c r="P14" s="118"/>
      <c r="Q14" s="113"/>
      <c r="R14" s="112"/>
      <c r="S14" s="102"/>
      <c r="T14" s="119"/>
      <c r="U14" s="104"/>
      <c r="V14" s="102"/>
      <c r="W14" s="105"/>
      <c r="X14" s="95"/>
      <c r="Y14" s="42">
        <v>46093</v>
      </c>
      <c r="Z14" s="1">
        <v>1</v>
      </c>
      <c r="AA14" s="40">
        <v>48</v>
      </c>
      <c r="AB14" s="43">
        <v>240000</v>
      </c>
      <c r="AC14" s="47"/>
      <c r="AD14" s="42">
        <v>46093</v>
      </c>
      <c r="AE14" s="1">
        <v>1</v>
      </c>
      <c r="AF14" s="40">
        <v>96</v>
      </c>
      <c r="AG14" s="43">
        <v>480000</v>
      </c>
      <c r="AI14" s="42">
        <v>46093</v>
      </c>
      <c r="AJ14" s="1">
        <v>1</v>
      </c>
      <c r="AK14" s="40">
        <v>48</v>
      </c>
      <c r="AL14" s="43">
        <v>260000</v>
      </c>
      <c r="AN14" s="42">
        <v>46093</v>
      </c>
      <c r="AO14" s="1">
        <v>1</v>
      </c>
      <c r="AP14" s="40">
        <v>23</v>
      </c>
      <c r="AQ14" s="43">
        <v>115000</v>
      </c>
      <c r="AR14" s="50"/>
      <c r="AS14" s="42">
        <v>46093</v>
      </c>
      <c r="AT14" s="1">
        <v>1</v>
      </c>
      <c r="AU14" s="40">
        <v>96</v>
      </c>
      <c r="AV14" s="43">
        <v>528000</v>
      </c>
      <c r="AW14" s="47"/>
      <c r="AX14" s="42">
        <v>46093</v>
      </c>
      <c r="AY14" s="1">
        <v>1</v>
      </c>
      <c r="AZ14" s="40">
        <v>96</v>
      </c>
      <c r="BA14" s="43">
        <v>528000</v>
      </c>
      <c r="BC14" s="47"/>
      <c r="BD14" s="50"/>
    </row>
    <row r="15" spans="1:56">
      <c r="A15" s="295"/>
      <c r="B15" s="295"/>
      <c r="C15" s="109"/>
      <c r="D15" s="92"/>
      <c r="E15" s="106"/>
      <c r="F15" s="107"/>
      <c r="G15" s="107"/>
      <c r="H15" s="107"/>
      <c r="I15" s="107"/>
      <c r="J15" s="107"/>
      <c r="K15" s="107"/>
      <c r="L15" s="107"/>
      <c r="M15" s="107"/>
      <c r="N15" s="120"/>
      <c r="O15" s="92"/>
      <c r="P15" s="119"/>
      <c r="Q15" s="108"/>
      <c r="R15" s="107"/>
      <c r="S15" s="110"/>
      <c r="T15" s="119"/>
      <c r="U15" s="97"/>
      <c r="V15" s="112"/>
      <c r="W15" s="92"/>
      <c r="X15" s="95"/>
      <c r="Y15" s="42">
        <v>46094</v>
      </c>
      <c r="Z15" s="1"/>
      <c r="AA15" s="40"/>
      <c r="AB15" s="43"/>
      <c r="AC15" s="47"/>
      <c r="AD15" s="42">
        <v>46094</v>
      </c>
      <c r="AE15" s="1"/>
      <c r="AF15" s="40"/>
      <c r="AG15" s="43"/>
      <c r="AI15" s="42">
        <v>46094</v>
      </c>
      <c r="AJ15" s="1"/>
      <c r="AK15" s="40"/>
      <c r="AL15" s="43"/>
      <c r="AN15" s="42">
        <v>46094</v>
      </c>
      <c r="AO15" s="1"/>
      <c r="AP15" s="40"/>
      <c r="AQ15" s="43"/>
      <c r="AR15" s="50"/>
      <c r="AS15" s="42">
        <v>46094</v>
      </c>
      <c r="AT15" s="1"/>
      <c r="AU15" s="40"/>
      <c r="AV15" s="43"/>
      <c r="AW15" s="47"/>
      <c r="AX15" s="42">
        <v>46094</v>
      </c>
      <c r="AY15" s="1"/>
      <c r="AZ15" s="40"/>
      <c r="BA15" s="43"/>
      <c r="BC15" s="47"/>
      <c r="BD15" s="50"/>
    </row>
    <row r="16" spans="1:56">
      <c r="A16" s="298"/>
      <c r="B16" s="84"/>
      <c r="C16" s="92"/>
      <c r="D16" s="97"/>
      <c r="E16" s="119"/>
      <c r="F16" s="99"/>
      <c r="G16" s="99"/>
      <c r="H16" s="99"/>
      <c r="I16" s="99"/>
      <c r="J16" s="99"/>
      <c r="K16" s="99"/>
      <c r="L16" s="99"/>
      <c r="M16" s="99"/>
      <c r="N16" s="97"/>
      <c r="O16" s="97"/>
      <c r="P16" s="98"/>
      <c r="Q16" s="113"/>
      <c r="R16" s="112"/>
      <c r="S16" s="104"/>
      <c r="T16" s="103"/>
      <c r="U16" s="104"/>
      <c r="V16" s="102"/>
      <c r="W16" s="105"/>
      <c r="X16" s="95"/>
      <c r="Y16" s="42">
        <v>46095</v>
      </c>
      <c r="Z16" s="1"/>
      <c r="AA16" s="40"/>
      <c r="AB16" s="43"/>
      <c r="AC16" s="47"/>
      <c r="AD16" s="42">
        <v>46095</v>
      </c>
      <c r="AE16" s="1"/>
      <c r="AF16" s="40"/>
      <c r="AG16" s="43"/>
      <c r="AI16" s="42">
        <v>46095</v>
      </c>
      <c r="AJ16" s="1"/>
      <c r="AK16" s="40"/>
      <c r="AL16" s="43"/>
      <c r="AN16" s="42">
        <v>46095</v>
      </c>
      <c r="AO16" s="1"/>
      <c r="AP16" s="40"/>
      <c r="AQ16" s="43"/>
      <c r="AR16" s="50"/>
      <c r="AS16" s="42">
        <v>46095</v>
      </c>
      <c r="AT16" s="1"/>
      <c r="AU16" s="40"/>
      <c r="AV16" s="43"/>
      <c r="AW16" s="47"/>
      <c r="AX16" s="42">
        <v>46095</v>
      </c>
      <c r="AY16" s="1"/>
      <c r="AZ16" s="40"/>
      <c r="BA16" s="43"/>
      <c r="BC16" s="47"/>
      <c r="BD16" s="50"/>
    </row>
    <row r="17" spans="1:56">
      <c r="A17" s="298"/>
      <c r="B17" s="97"/>
      <c r="C17" s="92"/>
      <c r="D17" s="97"/>
      <c r="E17" s="111"/>
      <c r="F17" s="99"/>
      <c r="G17" s="99"/>
      <c r="H17" s="99"/>
      <c r="I17" s="99"/>
      <c r="J17" s="99"/>
      <c r="K17" s="99"/>
      <c r="L17" s="99"/>
      <c r="M17" s="99"/>
      <c r="N17" s="97"/>
      <c r="O17" s="97"/>
      <c r="P17" s="103"/>
      <c r="Q17" s="113"/>
      <c r="R17" s="112"/>
      <c r="S17" s="104"/>
      <c r="T17" s="103"/>
      <c r="U17" s="104"/>
      <c r="V17" s="102"/>
      <c r="W17" s="105"/>
      <c r="X17" s="95"/>
      <c r="Y17" s="42">
        <v>46096</v>
      </c>
      <c r="Z17" s="1"/>
      <c r="AA17" s="40">
        <v>0</v>
      </c>
      <c r="AB17" s="43"/>
      <c r="AC17" s="47"/>
      <c r="AD17" s="42">
        <v>46096</v>
      </c>
      <c r="AE17" s="1"/>
      <c r="AF17" s="40">
        <v>0</v>
      </c>
      <c r="AG17" s="43"/>
      <c r="AI17" s="42">
        <v>46096</v>
      </c>
      <c r="AJ17" s="1"/>
      <c r="AK17" s="40">
        <v>0</v>
      </c>
      <c r="AL17" s="43"/>
      <c r="AN17" s="42">
        <v>46096</v>
      </c>
      <c r="AO17" s="1"/>
      <c r="AP17" s="40">
        <v>0</v>
      </c>
      <c r="AQ17" s="43"/>
      <c r="AR17" s="50"/>
      <c r="AS17" s="42">
        <v>46096</v>
      </c>
      <c r="AT17" s="1"/>
      <c r="AU17" s="40">
        <v>0</v>
      </c>
      <c r="AV17" s="43"/>
      <c r="AW17" s="47"/>
      <c r="AX17" s="42">
        <v>46096</v>
      </c>
      <c r="AY17" s="1"/>
      <c r="AZ17" s="40">
        <v>0</v>
      </c>
      <c r="BA17" s="43"/>
      <c r="BC17" s="47"/>
      <c r="BD17" s="50"/>
    </row>
    <row r="18" spans="1:56">
      <c r="A18" s="299"/>
      <c r="B18" s="299"/>
      <c r="C18" s="107"/>
      <c r="D18" s="107"/>
      <c r="E18" s="12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21"/>
      <c r="Q18" s="122"/>
      <c r="R18" s="107"/>
      <c r="S18" s="110"/>
      <c r="T18" s="111"/>
      <c r="U18" s="97"/>
      <c r="V18" s="112"/>
      <c r="W18" s="123"/>
      <c r="X18" s="95"/>
      <c r="Y18" s="42">
        <v>46097</v>
      </c>
      <c r="Z18" s="1"/>
      <c r="AA18" s="40"/>
      <c r="AB18" s="43"/>
      <c r="AC18" s="47"/>
      <c r="AD18" s="42">
        <v>46097</v>
      </c>
      <c r="AE18" s="1"/>
      <c r="AF18" s="40"/>
      <c r="AG18" s="43"/>
      <c r="AI18" s="42">
        <v>46097</v>
      </c>
      <c r="AJ18" s="1"/>
      <c r="AK18" s="40"/>
      <c r="AL18" s="43"/>
      <c r="AN18" s="42">
        <v>46097</v>
      </c>
      <c r="AO18" s="1"/>
      <c r="AP18" s="40"/>
      <c r="AQ18" s="43"/>
      <c r="AR18" s="50"/>
      <c r="AS18" s="42">
        <v>46097</v>
      </c>
      <c r="AT18" s="1"/>
      <c r="AU18" s="40"/>
      <c r="AV18" s="43"/>
      <c r="AW18" s="47"/>
      <c r="AX18" s="42">
        <v>46097</v>
      </c>
      <c r="AY18" s="1"/>
      <c r="AZ18" s="40"/>
      <c r="BA18" s="43"/>
      <c r="BC18" s="47"/>
      <c r="BD18" s="50"/>
    </row>
    <row r="19" spans="1:56">
      <c r="A19" s="295"/>
      <c r="B19" s="295"/>
      <c r="C19" s="107"/>
      <c r="D19" s="107"/>
      <c r="E19" s="124"/>
      <c r="F19" s="125"/>
      <c r="G19" s="125"/>
      <c r="H19" s="125"/>
      <c r="I19" s="125"/>
      <c r="J19" s="125"/>
      <c r="K19" s="125"/>
      <c r="L19" s="125"/>
      <c r="M19" s="125"/>
      <c r="N19" s="107"/>
      <c r="O19" s="107"/>
      <c r="P19" s="124"/>
      <c r="Q19" s="122"/>
      <c r="R19" s="112"/>
      <c r="S19" s="110"/>
      <c r="T19" s="111"/>
      <c r="U19" s="97"/>
      <c r="V19" s="112"/>
      <c r="W19" s="123"/>
      <c r="X19" s="95"/>
      <c r="Y19" s="42">
        <v>46098</v>
      </c>
      <c r="Z19" s="1"/>
      <c r="AA19" s="40"/>
      <c r="AB19" s="43"/>
      <c r="AC19" s="47"/>
      <c r="AD19" s="42">
        <v>46098</v>
      </c>
      <c r="AE19" s="1"/>
      <c r="AF19" s="40"/>
      <c r="AG19" s="43"/>
      <c r="AI19" s="42">
        <v>46098</v>
      </c>
      <c r="AJ19" s="1"/>
      <c r="AK19" s="40"/>
      <c r="AL19" s="43"/>
      <c r="AN19" s="42">
        <v>46098</v>
      </c>
      <c r="AO19" s="1"/>
      <c r="AP19" s="40"/>
      <c r="AQ19" s="43"/>
      <c r="AR19" s="50"/>
      <c r="AS19" s="42">
        <v>46098</v>
      </c>
      <c r="AT19" s="1"/>
      <c r="AU19" s="40"/>
      <c r="AV19" s="43"/>
      <c r="AW19" s="47"/>
      <c r="AX19" s="42">
        <v>46098</v>
      </c>
      <c r="AY19" s="1"/>
      <c r="AZ19" s="40"/>
      <c r="BA19" s="43"/>
      <c r="BC19" s="47"/>
      <c r="BD19" s="50"/>
    </row>
    <row r="20" spans="1:56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42">
        <v>46099</v>
      </c>
      <c r="Z20" s="1"/>
      <c r="AA20" s="40"/>
      <c r="AB20" s="43"/>
      <c r="AC20" s="47"/>
      <c r="AD20" s="42">
        <v>46099</v>
      </c>
      <c r="AE20" s="1"/>
      <c r="AF20" s="40"/>
      <c r="AG20" s="43"/>
      <c r="AI20" s="42">
        <v>46099</v>
      </c>
      <c r="AJ20" s="1"/>
      <c r="AK20" s="40"/>
      <c r="AL20" s="43"/>
      <c r="AN20" s="42">
        <v>46099</v>
      </c>
      <c r="AO20" s="1"/>
      <c r="AP20" s="40"/>
      <c r="AQ20" s="43"/>
      <c r="AR20" s="50"/>
      <c r="AS20" s="42">
        <v>46099</v>
      </c>
      <c r="AT20" s="1"/>
      <c r="AU20" s="40"/>
      <c r="AV20" s="43"/>
      <c r="AW20" s="47"/>
      <c r="AX20" s="42">
        <v>46099</v>
      </c>
      <c r="AY20" s="1"/>
      <c r="AZ20" s="40"/>
      <c r="BA20" s="43"/>
      <c r="BC20" s="47"/>
      <c r="BD20" s="50"/>
    </row>
    <row r="21" spans="1:56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42">
        <v>46100</v>
      </c>
      <c r="Z21" s="1"/>
      <c r="AA21" s="40"/>
      <c r="AB21" s="43"/>
      <c r="AC21" s="47"/>
      <c r="AD21" s="42">
        <v>46100</v>
      </c>
      <c r="AE21" s="1"/>
      <c r="AF21" s="40"/>
      <c r="AG21" s="43"/>
      <c r="AI21" s="42">
        <v>46100</v>
      </c>
      <c r="AJ21" s="1"/>
      <c r="AK21" s="40"/>
      <c r="AL21" s="43"/>
      <c r="AN21" s="42">
        <v>46100</v>
      </c>
      <c r="AO21" s="1"/>
      <c r="AP21" s="40"/>
      <c r="AQ21" s="43"/>
      <c r="AR21" s="50"/>
      <c r="AS21" s="42">
        <v>46100</v>
      </c>
      <c r="AT21" s="1"/>
      <c r="AU21" s="40"/>
      <c r="AV21" s="43"/>
      <c r="AW21" s="47"/>
      <c r="AX21" s="42">
        <v>46100</v>
      </c>
      <c r="AY21" s="1"/>
      <c r="AZ21" s="40"/>
      <c r="BA21" s="43"/>
      <c r="BC21" s="47"/>
      <c r="BD21" s="50"/>
    </row>
    <row r="22" spans="1:56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126"/>
      <c r="V22" s="95"/>
      <c r="W22" s="95"/>
      <c r="X22" s="95"/>
      <c r="Y22" s="42">
        <v>46101</v>
      </c>
      <c r="Z22" s="1"/>
      <c r="AA22" s="40"/>
      <c r="AB22" s="43"/>
      <c r="AC22" s="47"/>
      <c r="AD22" s="42">
        <v>46101</v>
      </c>
      <c r="AE22" s="1"/>
      <c r="AF22" s="40"/>
      <c r="AG22" s="43"/>
      <c r="AI22" s="42">
        <v>46101</v>
      </c>
      <c r="AJ22" s="1"/>
      <c r="AK22" s="40"/>
      <c r="AL22" s="43"/>
      <c r="AN22" s="42">
        <v>46101</v>
      </c>
      <c r="AO22" s="1"/>
      <c r="AP22" s="40"/>
      <c r="AQ22" s="43"/>
      <c r="AR22" s="50"/>
      <c r="AS22" s="42">
        <v>46101</v>
      </c>
      <c r="AT22" s="1"/>
      <c r="AU22" s="40"/>
      <c r="AV22" s="43"/>
      <c r="AW22" s="47"/>
      <c r="AX22" s="42">
        <v>46101</v>
      </c>
      <c r="AY22" s="1"/>
      <c r="AZ22" s="40"/>
      <c r="BA22" s="43"/>
      <c r="BC22" s="47"/>
      <c r="BD22" s="50"/>
    </row>
    <row r="23" spans="1:56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42">
        <v>46102</v>
      </c>
      <c r="Z23" s="1"/>
      <c r="AA23" s="40"/>
      <c r="AB23" s="43"/>
      <c r="AC23" s="47"/>
      <c r="AD23" s="42">
        <v>46102</v>
      </c>
      <c r="AE23" s="1"/>
      <c r="AF23" s="40"/>
      <c r="AG23" s="43"/>
      <c r="AI23" s="42">
        <v>46102</v>
      </c>
      <c r="AJ23" s="1"/>
      <c r="AK23" s="40"/>
      <c r="AL23" s="43"/>
      <c r="AN23" s="42">
        <v>46102</v>
      </c>
      <c r="AO23" s="1"/>
      <c r="AP23" s="40"/>
      <c r="AQ23" s="43"/>
      <c r="AR23" s="50"/>
      <c r="AS23" s="42">
        <v>46102</v>
      </c>
      <c r="AT23" s="1"/>
      <c r="AU23" s="40"/>
      <c r="AV23" s="43"/>
      <c r="AW23" s="47"/>
      <c r="AX23" s="42">
        <v>46102</v>
      </c>
      <c r="AY23" s="1"/>
      <c r="AZ23" s="40"/>
      <c r="BA23" s="43"/>
      <c r="BC23" s="47"/>
      <c r="BD23" s="50"/>
    </row>
    <row r="24" spans="1:56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42">
        <v>46103</v>
      </c>
      <c r="Z24" s="1"/>
      <c r="AA24" s="40">
        <v>0</v>
      </c>
      <c r="AB24" s="43"/>
      <c r="AC24" s="47"/>
      <c r="AD24" s="42">
        <v>46103</v>
      </c>
      <c r="AE24" s="1"/>
      <c r="AF24" s="40">
        <v>0</v>
      </c>
      <c r="AG24" s="43"/>
      <c r="AI24" s="42">
        <v>46103</v>
      </c>
      <c r="AJ24" s="1"/>
      <c r="AK24" s="40">
        <v>0</v>
      </c>
      <c r="AL24" s="43"/>
      <c r="AN24" s="42">
        <v>46103</v>
      </c>
      <c r="AO24" s="1"/>
      <c r="AP24" s="40">
        <v>0</v>
      </c>
      <c r="AQ24" s="43"/>
      <c r="AR24" s="50"/>
      <c r="AS24" s="42">
        <v>46103</v>
      </c>
      <c r="AT24" s="1"/>
      <c r="AU24" s="40">
        <v>0</v>
      </c>
      <c r="AV24" s="43"/>
      <c r="AW24" s="47"/>
      <c r="AX24" s="42">
        <v>46103</v>
      </c>
      <c r="AY24" s="1"/>
      <c r="AZ24" s="40">
        <v>0</v>
      </c>
      <c r="BA24" s="43"/>
      <c r="BC24" s="47"/>
      <c r="BD24" s="50"/>
    </row>
    <row r="25" spans="1:56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42">
        <v>46104</v>
      </c>
      <c r="Z25" s="1"/>
      <c r="AA25" s="40"/>
      <c r="AB25" s="43"/>
      <c r="AC25" s="47"/>
      <c r="AD25" s="42">
        <v>46104</v>
      </c>
      <c r="AE25" s="1"/>
      <c r="AF25" s="40"/>
      <c r="AG25" s="43"/>
      <c r="AI25" s="42">
        <v>46104</v>
      </c>
      <c r="AJ25" s="1"/>
      <c r="AK25" s="40"/>
      <c r="AL25" s="43"/>
      <c r="AN25" s="42">
        <v>46104</v>
      </c>
      <c r="AO25" s="1"/>
      <c r="AP25" s="40"/>
      <c r="AQ25" s="43"/>
      <c r="AR25" s="50"/>
      <c r="AS25" s="42">
        <v>46104</v>
      </c>
      <c r="AT25" s="1"/>
      <c r="AU25" s="40"/>
      <c r="AV25" s="43"/>
      <c r="AW25" s="47"/>
      <c r="AX25" s="42">
        <v>46104</v>
      </c>
      <c r="AY25" s="1"/>
      <c r="AZ25" s="40"/>
      <c r="BA25" s="43"/>
      <c r="BC25" s="47"/>
      <c r="BD25" s="50"/>
    </row>
    <row r="26" spans="1:56" ht="25.5" customHeight="1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297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95"/>
      <c r="Y26" s="42">
        <v>46105</v>
      </c>
      <c r="Z26" s="1"/>
      <c r="AA26" s="40"/>
      <c r="AB26" s="43"/>
      <c r="AC26" s="47"/>
      <c r="AD26" s="42">
        <v>46105</v>
      </c>
      <c r="AE26" s="1"/>
      <c r="AF26" s="40"/>
      <c r="AG26" s="43"/>
      <c r="AI26" s="42">
        <v>46105</v>
      </c>
      <c r="AJ26" s="1"/>
      <c r="AK26" s="40"/>
      <c r="AL26" s="43"/>
      <c r="AN26" s="42">
        <v>46105</v>
      </c>
      <c r="AO26" s="1"/>
      <c r="AP26" s="40"/>
      <c r="AQ26" s="43"/>
      <c r="AR26" s="50"/>
      <c r="AS26" s="42">
        <v>46105</v>
      </c>
      <c r="AT26" s="1"/>
      <c r="AU26" s="40"/>
      <c r="AV26" s="43"/>
      <c r="AW26" s="47"/>
      <c r="AX26" s="42">
        <v>46105</v>
      </c>
      <c r="AY26" s="1"/>
      <c r="AZ26" s="40"/>
      <c r="BA26" s="43"/>
      <c r="BC26" s="47"/>
      <c r="BD26" s="50"/>
    </row>
    <row r="27" spans="1:56" ht="30.75" customHeight="1">
      <c r="A27" s="298"/>
      <c r="B27" s="300"/>
      <c r="C27" s="300"/>
      <c r="D27" s="300"/>
      <c r="E27" s="300"/>
      <c r="F27" s="95"/>
      <c r="G27" s="95"/>
      <c r="H27" s="95"/>
      <c r="I27" s="95"/>
      <c r="J27" s="95"/>
      <c r="K27" s="297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5"/>
      <c r="Y27" s="42">
        <v>46106</v>
      </c>
      <c r="Z27" s="1"/>
      <c r="AA27" s="40"/>
      <c r="AB27" s="43"/>
      <c r="AC27" s="47"/>
      <c r="AD27" s="42">
        <v>46106</v>
      </c>
      <c r="AE27" s="1"/>
      <c r="AF27" s="40"/>
      <c r="AG27" s="43"/>
      <c r="AI27" s="42">
        <v>46106</v>
      </c>
      <c r="AJ27" s="1"/>
      <c r="AK27" s="40"/>
      <c r="AL27" s="43"/>
      <c r="AN27" s="42">
        <v>46106</v>
      </c>
      <c r="AO27" s="1"/>
      <c r="AP27" s="40"/>
      <c r="AQ27" s="43"/>
      <c r="AR27" s="50"/>
      <c r="AS27" s="42">
        <v>46106</v>
      </c>
      <c r="AT27" s="1"/>
      <c r="AU27" s="40"/>
      <c r="AV27" s="43"/>
      <c r="AW27" s="47"/>
      <c r="AX27" s="42">
        <v>46106</v>
      </c>
      <c r="AY27" s="1"/>
      <c r="AZ27" s="40"/>
      <c r="BA27" s="43"/>
      <c r="BC27" s="47"/>
      <c r="BD27" s="50"/>
    </row>
    <row r="28" spans="1:56">
      <c r="A28" s="298"/>
      <c r="B28" s="300"/>
      <c r="C28" s="300"/>
      <c r="D28" s="300"/>
      <c r="E28" s="300"/>
      <c r="F28" s="95"/>
      <c r="G28" s="95"/>
      <c r="H28" s="95"/>
      <c r="I28" s="95"/>
      <c r="J28" s="95"/>
      <c r="K28" s="128"/>
      <c r="L28" s="127"/>
      <c r="M28" s="127"/>
      <c r="N28" s="129"/>
      <c r="O28" s="130"/>
      <c r="P28" s="130"/>
      <c r="Q28" s="131"/>
      <c r="R28" s="127"/>
      <c r="S28" s="127"/>
      <c r="T28" s="129"/>
      <c r="U28" s="130"/>
      <c r="V28" s="130"/>
      <c r="W28" s="131"/>
      <c r="X28" s="95"/>
      <c r="Y28" s="42">
        <v>46107</v>
      </c>
      <c r="Z28" s="1"/>
      <c r="AA28" s="40"/>
      <c r="AB28" s="43"/>
      <c r="AC28" s="47"/>
      <c r="AD28" s="42">
        <v>46107</v>
      </c>
      <c r="AE28" s="1"/>
      <c r="AF28" s="40"/>
      <c r="AG28" s="43"/>
      <c r="AI28" s="42">
        <v>46107</v>
      </c>
      <c r="AJ28" s="1"/>
      <c r="AK28" s="40"/>
      <c r="AL28" s="43"/>
      <c r="AN28" s="42">
        <v>46107</v>
      </c>
      <c r="AO28" s="1"/>
      <c r="AP28" s="40"/>
      <c r="AQ28" s="43"/>
      <c r="AR28" s="50"/>
      <c r="AS28" s="42">
        <v>46107</v>
      </c>
      <c r="AT28" s="1"/>
      <c r="AU28" s="40"/>
      <c r="AV28" s="43"/>
      <c r="AW28" s="47"/>
      <c r="AX28" s="42">
        <v>46107</v>
      </c>
      <c r="AY28" s="1"/>
      <c r="AZ28" s="40"/>
      <c r="BA28" s="43"/>
      <c r="BC28" s="47"/>
      <c r="BD28" s="50"/>
    </row>
    <row r="29" spans="1:56" ht="22.5" customHeight="1">
      <c r="A29" s="298"/>
      <c r="B29" s="300"/>
      <c r="C29" s="300"/>
      <c r="D29" s="300"/>
      <c r="E29" s="300"/>
      <c r="F29" s="95"/>
      <c r="G29" s="95"/>
      <c r="H29" s="95"/>
      <c r="I29" s="95"/>
      <c r="J29" s="95"/>
      <c r="K29" s="128"/>
      <c r="L29" s="127"/>
      <c r="M29" s="127"/>
      <c r="N29" s="129"/>
      <c r="O29" s="130"/>
      <c r="P29" s="130"/>
      <c r="Q29" s="131"/>
      <c r="R29" s="127"/>
      <c r="S29" s="127"/>
      <c r="T29" s="129"/>
      <c r="U29" s="130"/>
      <c r="V29" s="130"/>
      <c r="W29" s="131"/>
      <c r="X29" s="95"/>
      <c r="Y29" s="42">
        <v>46108</v>
      </c>
      <c r="Z29" s="1"/>
      <c r="AA29" s="40"/>
      <c r="AB29" s="43"/>
      <c r="AC29" s="47"/>
      <c r="AD29" s="42">
        <v>46108</v>
      </c>
      <c r="AE29" s="1"/>
      <c r="AF29" s="40"/>
      <c r="AG29" s="43"/>
      <c r="AI29" s="42">
        <v>46108</v>
      </c>
      <c r="AJ29" s="1"/>
      <c r="AK29" s="40"/>
      <c r="AL29" s="43"/>
      <c r="AN29" s="42">
        <v>46108</v>
      </c>
      <c r="AO29" s="1"/>
      <c r="AP29" s="40"/>
      <c r="AQ29" s="43"/>
      <c r="AR29" s="50"/>
      <c r="AS29" s="42">
        <v>46108</v>
      </c>
      <c r="AT29" s="1"/>
      <c r="AU29" s="40"/>
      <c r="AV29" s="43"/>
      <c r="AW29" s="47"/>
      <c r="AX29" s="42">
        <v>46108</v>
      </c>
      <c r="AY29" s="1"/>
      <c r="AZ29" s="40"/>
      <c r="BA29" s="43"/>
      <c r="BC29" s="47"/>
      <c r="BD29" s="50"/>
    </row>
    <row r="30" spans="1:56">
      <c r="A30" s="97"/>
      <c r="B30" s="104"/>
      <c r="C30" s="95"/>
      <c r="D30" s="95"/>
      <c r="E30" s="95"/>
      <c r="F30" s="95"/>
      <c r="G30" s="95"/>
      <c r="H30" s="95"/>
      <c r="I30" s="95"/>
      <c r="J30" s="95"/>
      <c r="K30" s="128"/>
      <c r="L30" s="127"/>
      <c r="M30" s="127"/>
      <c r="N30" s="129"/>
      <c r="O30" s="130"/>
      <c r="P30" s="130"/>
      <c r="Q30" s="131"/>
      <c r="R30" s="127"/>
      <c r="S30" s="127"/>
      <c r="T30" s="129"/>
      <c r="U30" s="130"/>
      <c r="V30" s="130"/>
      <c r="W30" s="131"/>
      <c r="X30" s="95"/>
      <c r="Y30" s="42">
        <v>46109</v>
      </c>
      <c r="Z30" s="1"/>
      <c r="AA30" s="40"/>
      <c r="AB30" s="43"/>
      <c r="AC30" s="47"/>
      <c r="AD30" s="42">
        <v>46109</v>
      </c>
      <c r="AE30" s="1"/>
      <c r="AF30" s="40"/>
      <c r="AG30" s="43"/>
      <c r="AI30" s="42">
        <v>46109</v>
      </c>
      <c r="AJ30" s="1"/>
      <c r="AK30" s="40"/>
      <c r="AL30" s="43"/>
      <c r="AN30" s="42">
        <v>46109</v>
      </c>
      <c r="AO30" s="1"/>
      <c r="AP30" s="40"/>
      <c r="AQ30" s="43"/>
      <c r="AR30" s="50"/>
      <c r="AS30" s="42">
        <v>46109</v>
      </c>
      <c r="AT30" s="1"/>
      <c r="AU30" s="40"/>
      <c r="AV30" s="43"/>
      <c r="AW30" s="47"/>
      <c r="AX30" s="42">
        <v>46109</v>
      </c>
      <c r="AY30" s="1"/>
      <c r="AZ30" s="40"/>
      <c r="BA30" s="43"/>
      <c r="BC30" s="47"/>
      <c r="BD30" s="50"/>
    </row>
    <row r="31" spans="1:56">
      <c r="A31" s="97"/>
      <c r="B31" s="102"/>
      <c r="C31" s="95"/>
      <c r="D31" s="95"/>
      <c r="E31" s="95"/>
      <c r="F31" s="95"/>
      <c r="G31" s="95"/>
      <c r="H31" s="95"/>
      <c r="I31" s="95"/>
      <c r="J31" s="95"/>
      <c r="K31" s="128"/>
      <c r="L31" s="127"/>
      <c r="M31" s="127"/>
      <c r="N31" s="129"/>
      <c r="O31" s="130"/>
      <c r="P31" s="130"/>
      <c r="Q31" s="131"/>
      <c r="R31" s="127"/>
      <c r="S31" s="127"/>
      <c r="T31" s="129"/>
      <c r="U31" s="130"/>
      <c r="V31" s="130"/>
      <c r="W31" s="131"/>
      <c r="X31" s="95"/>
      <c r="Y31" s="42">
        <v>46110</v>
      </c>
      <c r="Z31" s="1"/>
      <c r="AA31" s="40"/>
      <c r="AB31" s="43"/>
      <c r="AC31" s="47"/>
      <c r="AD31" s="42">
        <v>46110</v>
      </c>
      <c r="AE31" s="1"/>
      <c r="AF31" s="40"/>
      <c r="AG31" s="43"/>
      <c r="AI31" s="42">
        <v>46110</v>
      </c>
      <c r="AJ31" s="1"/>
      <c r="AK31" s="40"/>
      <c r="AL31" s="43"/>
      <c r="AN31" s="42">
        <v>46110</v>
      </c>
      <c r="AO31" s="1"/>
      <c r="AP31" s="40"/>
      <c r="AQ31" s="43"/>
      <c r="AR31" s="50"/>
      <c r="AS31" s="42">
        <v>46110</v>
      </c>
      <c r="AT31" s="1"/>
      <c r="AU31" s="40"/>
      <c r="AV31" s="43"/>
      <c r="AW31" s="47"/>
      <c r="AX31" s="42">
        <v>46110</v>
      </c>
      <c r="AY31" s="1"/>
      <c r="AZ31" s="40"/>
      <c r="BA31" s="43"/>
      <c r="BC31" s="47"/>
      <c r="BD31" s="50"/>
    </row>
    <row r="32" spans="1:56">
      <c r="A32" s="97"/>
      <c r="B32" s="102"/>
      <c r="C32" s="95"/>
      <c r="D32" s="95"/>
      <c r="E32" s="95"/>
      <c r="F32" s="95"/>
      <c r="G32" s="95"/>
      <c r="H32" s="95"/>
      <c r="I32" s="95"/>
      <c r="J32" s="95"/>
      <c r="K32" s="128"/>
      <c r="L32" s="127"/>
      <c r="M32" s="127"/>
      <c r="N32" s="129"/>
      <c r="O32" s="130"/>
      <c r="P32" s="130"/>
      <c r="Q32" s="131"/>
      <c r="R32" s="127"/>
      <c r="S32" s="127"/>
      <c r="T32" s="129"/>
      <c r="U32" s="130"/>
      <c r="V32" s="130"/>
      <c r="W32" s="131"/>
      <c r="X32" s="95"/>
      <c r="Y32" s="42">
        <v>46111</v>
      </c>
      <c r="Z32" s="1"/>
      <c r="AA32" s="40"/>
      <c r="AB32" s="43"/>
      <c r="AC32" s="47"/>
      <c r="AD32" s="42">
        <v>46111</v>
      </c>
      <c r="AE32" s="1"/>
      <c r="AF32" s="40"/>
      <c r="AG32" s="43"/>
      <c r="AI32" s="42">
        <v>46111</v>
      </c>
      <c r="AJ32" s="1"/>
      <c r="AK32" s="40"/>
      <c r="AL32" s="43"/>
      <c r="AN32" s="42">
        <v>46111</v>
      </c>
      <c r="AO32" s="1"/>
      <c r="AP32" s="40"/>
      <c r="AQ32" s="43"/>
      <c r="AR32" s="50"/>
      <c r="AS32" s="42">
        <v>46111</v>
      </c>
      <c r="AT32" s="1"/>
      <c r="AU32" s="40"/>
      <c r="AV32" s="43"/>
      <c r="AW32" s="47"/>
      <c r="AX32" s="42">
        <v>46111</v>
      </c>
      <c r="AY32" s="1"/>
      <c r="AZ32" s="40"/>
      <c r="BA32" s="43"/>
      <c r="BC32" s="47"/>
      <c r="BD32" s="50"/>
    </row>
    <row r="33" spans="1:56">
      <c r="A33" s="97"/>
      <c r="B33" s="102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42">
        <v>46112</v>
      </c>
      <c r="Z33" s="1"/>
      <c r="AA33" s="40"/>
      <c r="AB33" s="43"/>
      <c r="AC33" s="47"/>
      <c r="AD33" s="42">
        <v>46112</v>
      </c>
      <c r="AE33" s="1"/>
      <c r="AF33" s="40"/>
      <c r="AG33" s="43"/>
      <c r="AI33" s="42">
        <v>46112</v>
      </c>
      <c r="AJ33" s="1"/>
      <c r="AK33" s="40"/>
      <c r="AL33" s="43"/>
      <c r="AN33" s="42">
        <v>46112</v>
      </c>
      <c r="AO33" s="1"/>
      <c r="AP33" s="40"/>
      <c r="AQ33" s="43"/>
      <c r="AR33" s="50"/>
      <c r="AS33" s="42">
        <v>46112</v>
      </c>
      <c r="AT33" s="1"/>
      <c r="AU33" s="40"/>
      <c r="AV33" s="43"/>
      <c r="AW33" s="47"/>
      <c r="AX33" s="42">
        <v>46112</v>
      </c>
      <c r="AY33" s="1"/>
      <c r="AZ33" s="40"/>
      <c r="BA33" s="43"/>
      <c r="BC33" s="47"/>
      <c r="BD33" s="50"/>
    </row>
    <row r="34" spans="1:56">
      <c r="A34" s="97"/>
      <c r="B34" s="102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AS34" s="44"/>
    </row>
    <row r="35" spans="1:56">
      <c r="A35" s="295"/>
      <c r="B35" s="295"/>
      <c r="C35" s="295"/>
      <c r="D35" s="295"/>
      <c r="E35" s="295"/>
      <c r="F35" s="294"/>
      <c r="G35" s="294"/>
      <c r="H35" s="294"/>
      <c r="I35" s="294"/>
      <c r="J35" s="294"/>
      <c r="K35" s="294"/>
      <c r="L35" s="294"/>
      <c r="M35" s="294"/>
      <c r="N35" s="295"/>
      <c r="O35" s="296"/>
      <c r="P35" s="296"/>
      <c r="Q35" s="296"/>
      <c r="R35" s="296"/>
      <c r="S35" s="296"/>
      <c r="T35" s="296"/>
      <c r="U35" s="297"/>
      <c r="V35" s="297"/>
      <c r="W35" s="295"/>
      <c r="X35" s="95"/>
    </row>
    <row r="36" spans="1:56">
      <c r="A36" s="295"/>
      <c r="B36" s="295"/>
      <c r="C36" s="295"/>
      <c r="D36" s="295"/>
      <c r="E36" s="295"/>
      <c r="F36" s="93"/>
      <c r="G36" s="93"/>
      <c r="H36" s="93"/>
      <c r="I36" s="93"/>
      <c r="J36" s="93"/>
      <c r="K36" s="93"/>
      <c r="L36" s="93"/>
      <c r="M36" s="93"/>
      <c r="N36" s="295"/>
      <c r="O36" s="296"/>
      <c r="P36" s="296"/>
      <c r="Q36" s="296"/>
      <c r="R36" s="296"/>
      <c r="S36" s="296"/>
      <c r="T36" s="296"/>
      <c r="U36" s="297"/>
      <c r="V36" s="297"/>
      <c r="W36" s="295"/>
      <c r="X36" s="95"/>
    </row>
    <row r="37" spans="1:56">
      <c r="A37" s="293"/>
      <c r="B37" s="97"/>
      <c r="C37" s="96"/>
      <c r="D37" s="97"/>
      <c r="E37" s="98"/>
      <c r="F37" s="99"/>
      <c r="G37" s="99"/>
      <c r="H37" s="99"/>
      <c r="I37" s="99"/>
      <c r="J37" s="99"/>
      <c r="K37" s="99"/>
      <c r="L37" s="99"/>
      <c r="M37" s="99"/>
      <c r="N37" s="97"/>
      <c r="O37" s="100"/>
      <c r="P37" s="98"/>
      <c r="Q37" s="101"/>
      <c r="R37" s="96"/>
      <c r="S37" s="102"/>
      <c r="T37" s="103"/>
      <c r="U37" s="104"/>
      <c r="V37" s="104"/>
      <c r="W37" s="105"/>
      <c r="X37" s="95"/>
      <c r="AR37" s="2"/>
      <c r="AS37" s="2"/>
      <c r="AT37" s="2"/>
      <c r="AU37" s="2"/>
      <c r="AV37" s="2"/>
      <c r="AW37" s="2"/>
    </row>
    <row r="38" spans="1:56">
      <c r="A38" s="293"/>
      <c r="B38" s="97"/>
      <c r="C38" s="96"/>
      <c r="D38" s="97"/>
      <c r="E38" s="98"/>
      <c r="F38" s="99"/>
      <c r="G38" s="99"/>
      <c r="H38" s="99"/>
      <c r="I38" s="99"/>
      <c r="J38" s="99"/>
      <c r="K38" s="99"/>
      <c r="L38" s="99"/>
      <c r="M38" s="99"/>
      <c r="N38" s="97"/>
      <c r="O38" s="100"/>
      <c r="P38" s="98"/>
      <c r="Q38" s="101"/>
      <c r="R38" s="96"/>
      <c r="S38" s="102"/>
      <c r="T38" s="103"/>
      <c r="U38" s="104"/>
      <c r="V38" s="104"/>
      <c r="W38" s="105"/>
      <c r="X38" s="95"/>
      <c r="Y38" s="270" t="s">
        <v>148</v>
      </c>
      <c r="Z38" s="225"/>
      <c r="AA38" s="225"/>
      <c r="AB38" s="225"/>
      <c r="AD38" s="225" t="s">
        <v>149</v>
      </c>
      <c r="AE38" s="225"/>
      <c r="AF38" s="225"/>
      <c r="AG38" s="225"/>
      <c r="AH38" s="44"/>
      <c r="AI38" s="225" t="s">
        <v>150</v>
      </c>
      <c r="AJ38" s="225"/>
      <c r="AK38" s="225"/>
      <c r="AL38" s="225"/>
      <c r="AN38" s="225" t="s">
        <v>151</v>
      </c>
      <c r="AO38" s="225"/>
      <c r="AP38" s="225"/>
      <c r="AQ38" s="225"/>
      <c r="AR38" s="44"/>
      <c r="AS38" s="225" t="s">
        <v>152</v>
      </c>
      <c r="AT38" s="225"/>
      <c r="AU38" s="225"/>
      <c r="AV38" s="225"/>
      <c r="AY38" s="44"/>
    </row>
    <row r="39" spans="1:56" ht="15.75" customHeight="1">
      <c r="A39" s="293"/>
      <c r="B39" s="97"/>
      <c r="C39" s="96"/>
      <c r="D39" s="97"/>
      <c r="E39" s="98"/>
      <c r="F39" s="99"/>
      <c r="G39" s="99"/>
      <c r="H39" s="99"/>
      <c r="I39" s="99"/>
      <c r="J39" s="99"/>
      <c r="K39" s="99"/>
      <c r="L39" s="99"/>
      <c r="M39" s="99"/>
      <c r="N39" s="97"/>
      <c r="O39" s="100"/>
      <c r="P39" s="98"/>
      <c r="Q39" s="101"/>
      <c r="R39" s="96"/>
      <c r="S39" s="102"/>
      <c r="T39" s="103"/>
      <c r="U39" s="104"/>
      <c r="V39" s="104"/>
      <c r="W39" s="105"/>
      <c r="X39" s="95"/>
      <c r="Y39" s="90" t="s">
        <v>22</v>
      </c>
      <c r="Z39" s="46" t="s">
        <v>23</v>
      </c>
      <c r="AA39" s="41" t="s">
        <v>24</v>
      </c>
      <c r="AB39" s="41" t="s">
        <v>25</v>
      </c>
      <c r="AD39" s="41" t="s">
        <v>22</v>
      </c>
      <c r="AE39" s="46" t="s">
        <v>23</v>
      </c>
      <c r="AF39" s="41" t="s">
        <v>24</v>
      </c>
      <c r="AG39" s="41" t="s">
        <v>25</v>
      </c>
      <c r="AH39" s="49"/>
      <c r="AI39" s="41" t="s">
        <v>22</v>
      </c>
      <c r="AJ39" s="46" t="s">
        <v>23</v>
      </c>
      <c r="AK39" s="41" t="s">
        <v>24</v>
      </c>
      <c r="AL39" s="41" t="s">
        <v>25</v>
      </c>
      <c r="AN39" s="41" t="s">
        <v>22</v>
      </c>
      <c r="AO39" s="46" t="s">
        <v>23</v>
      </c>
      <c r="AP39" s="41" t="s">
        <v>24</v>
      </c>
      <c r="AQ39" s="41" t="s">
        <v>25</v>
      </c>
      <c r="AR39" s="49"/>
      <c r="AS39" s="41" t="s">
        <v>22</v>
      </c>
      <c r="AT39" s="46" t="s">
        <v>23</v>
      </c>
      <c r="AU39" s="41" t="s">
        <v>24</v>
      </c>
      <c r="AV39" s="41" t="s">
        <v>25</v>
      </c>
      <c r="AY39" s="49"/>
    </row>
    <row r="40" spans="1:56">
      <c r="A40" s="293"/>
      <c r="B40" s="97"/>
      <c r="C40" s="96"/>
      <c r="D40" s="97"/>
      <c r="E40" s="98"/>
      <c r="F40" s="99"/>
      <c r="G40" s="99"/>
      <c r="H40" s="99"/>
      <c r="I40" s="99"/>
      <c r="J40" s="99"/>
      <c r="K40" s="99"/>
      <c r="L40" s="99"/>
      <c r="M40" s="99"/>
      <c r="N40" s="97"/>
      <c r="O40" s="100"/>
      <c r="P40" s="98"/>
      <c r="Q40" s="101"/>
      <c r="R40" s="96"/>
      <c r="S40" s="102"/>
      <c r="T40" s="103"/>
      <c r="U40" s="104"/>
      <c r="V40" s="104"/>
      <c r="W40" s="105"/>
      <c r="X40" s="95"/>
      <c r="Y40" s="91">
        <v>46082</v>
      </c>
      <c r="Z40" s="22" t="s">
        <v>146</v>
      </c>
      <c r="AA40" s="22"/>
      <c r="AB40" s="22"/>
      <c r="AD40" s="42">
        <v>46082</v>
      </c>
      <c r="AE40" s="1">
        <v>1</v>
      </c>
      <c r="AF40" s="40">
        <v>24</v>
      </c>
      <c r="AG40" s="43">
        <v>127000</v>
      </c>
      <c r="AH40" s="47"/>
      <c r="AI40" s="42">
        <v>46082</v>
      </c>
      <c r="AJ40" s="1"/>
      <c r="AK40" s="1"/>
      <c r="AL40" s="43"/>
      <c r="AN40" s="42">
        <v>46082</v>
      </c>
      <c r="AO40" s="1" t="s">
        <v>146</v>
      </c>
      <c r="AP40" s="40"/>
      <c r="AQ40" s="43"/>
      <c r="AR40" s="47"/>
      <c r="AS40" s="42">
        <v>46082</v>
      </c>
      <c r="AT40" s="1"/>
      <c r="AU40" s="40"/>
      <c r="AV40" s="43"/>
      <c r="AY40" s="47"/>
    </row>
    <row r="41" spans="1:56">
      <c r="A41" s="295"/>
      <c r="B41" s="295"/>
      <c r="C41" s="92"/>
      <c r="D41" s="92"/>
      <c r="E41" s="106"/>
      <c r="F41" s="107"/>
      <c r="G41" s="107"/>
      <c r="H41" s="107"/>
      <c r="I41" s="107"/>
      <c r="J41" s="107"/>
      <c r="K41" s="107"/>
      <c r="L41" s="107"/>
      <c r="M41" s="107"/>
      <c r="N41" s="92"/>
      <c r="O41" s="92"/>
      <c r="P41" s="106"/>
      <c r="Q41" s="108"/>
      <c r="R41" s="109"/>
      <c r="S41" s="110"/>
      <c r="T41" s="111"/>
      <c r="U41" s="97"/>
      <c r="V41" s="112"/>
      <c r="W41" s="92"/>
      <c r="X41" s="95"/>
      <c r="Y41" s="91">
        <v>46083</v>
      </c>
      <c r="Z41" s="1">
        <v>1</v>
      </c>
      <c r="AA41" s="40">
        <v>102</v>
      </c>
      <c r="AB41" s="43">
        <v>566000</v>
      </c>
      <c r="AD41" s="42">
        <v>46083</v>
      </c>
      <c r="AE41" s="1" t="s">
        <v>146</v>
      </c>
      <c r="AF41" s="40"/>
      <c r="AG41" s="43"/>
      <c r="AH41" s="47"/>
      <c r="AI41" s="42">
        <v>46083</v>
      </c>
      <c r="AJ41" s="1"/>
      <c r="AK41" s="1"/>
      <c r="AL41" s="43"/>
      <c r="AN41" s="42">
        <v>46083</v>
      </c>
      <c r="AO41" s="1">
        <v>1</v>
      </c>
      <c r="AP41" s="40">
        <v>38</v>
      </c>
      <c r="AQ41" s="43">
        <v>209000</v>
      </c>
      <c r="AR41" s="47"/>
      <c r="AS41" s="42">
        <v>46083</v>
      </c>
      <c r="AT41" s="1"/>
      <c r="AU41" s="40"/>
      <c r="AV41" s="43"/>
      <c r="AY41" s="47"/>
    </row>
    <row r="42" spans="1:56">
      <c r="A42" s="293"/>
      <c r="B42" s="97"/>
      <c r="C42" s="96"/>
      <c r="D42" s="97"/>
      <c r="E42" s="98"/>
      <c r="F42" s="99"/>
      <c r="G42" s="99"/>
      <c r="H42" s="99"/>
      <c r="I42" s="99"/>
      <c r="J42" s="99"/>
      <c r="K42" s="99"/>
      <c r="L42" s="99"/>
      <c r="M42" s="99"/>
      <c r="N42" s="97"/>
      <c r="O42" s="97"/>
      <c r="P42" s="98"/>
      <c r="Q42" s="113"/>
      <c r="R42" s="96"/>
      <c r="S42" s="102"/>
      <c r="T42" s="103"/>
      <c r="U42" s="104"/>
      <c r="V42" s="102"/>
      <c r="W42" s="105"/>
      <c r="X42" s="95"/>
      <c r="Y42" s="91">
        <v>46084</v>
      </c>
      <c r="Z42" s="1">
        <v>1</v>
      </c>
      <c r="AA42" s="40">
        <v>96</v>
      </c>
      <c r="AB42" s="43">
        <v>532000</v>
      </c>
      <c r="AD42" s="42">
        <v>46084</v>
      </c>
      <c r="AE42" s="1">
        <v>1</v>
      </c>
      <c r="AF42" s="40">
        <v>48</v>
      </c>
      <c r="AG42" s="43">
        <v>252000</v>
      </c>
      <c r="AH42" s="47"/>
      <c r="AI42" s="42">
        <v>46084</v>
      </c>
      <c r="AJ42" s="1"/>
      <c r="AK42" s="1"/>
      <c r="AL42" s="43"/>
      <c r="AN42" s="42">
        <v>46084</v>
      </c>
      <c r="AO42" s="1">
        <v>1</v>
      </c>
      <c r="AP42" s="40">
        <v>96</v>
      </c>
      <c r="AQ42" s="43">
        <v>528000</v>
      </c>
      <c r="AR42" s="47"/>
      <c r="AS42" s="42">
        <v>46084</v>
      </c>
      <c r="AT42" s="1"/>
      <c r="AU42" s="40"/>
      <c r="AV42" s="43"/>
      <c r="AY42" s="47"/>
    </row>
    <row r="43" spans="1:56">
      <c r="A43" s="293"/>
      <c r="B43" s="97"/>
      <c r="C43" s="96"/>
      <c r="D43" s="97"/>
      <c r="E43" s="98"/>
      <c r="F43" s="99"/>
      <c r="G43" s="99"/>
      <c r="H43" s="99"/>
      <c r="I43" s="99"/>
      <c r="J43" s="99"/>
      <c r="K43" s="99"/>
      <c r="L43" s="99"/>
      <c r="M43" s="99"/>
      <c r="N43" s="97"/>
      <c r="O43" s="100"/>
      <c r="P43" s="98"/>
      <c r="Q43" s="113"/>
      <c r="R43" s="112"/>
      <c r="S43" s="102"/>
      <c r="T43" s="103"/>
      <c r="U43" s="104"/>
      <c r="V43" s="102"/>
      <c r="W43" s="105"/>
      <c r="X43" s="95"/>
      <c r="Y43" s="91">
        <v>46085</v>
      </c>
      <c r="Z43" s="1">
        <v>1</v>
      </c>
      <c r="AA43" s="40">
        <v>96</v>
      </c>
      <c r="AB43" s="43">
        <v>532000</v>
      </c>
      <c r="AD43" s="42">
        <v>46085</v>
      </c>
      <c r="AE43" s="1">
        <v>1</v>
      </c>
      <c r="AF43" s="40">
        <v>96</v>
      </c>
      <c r="AG43" s="43">
        <v>508000</v>
      </c>
      <c r="AH43" s="47"/>
      <c r="AI43" s="42">
        <v>46085</v>
      </c>
      <c r="AJ43" s="1">
        <v>1</v>
      </c>
      <c r="AK43" s="40">
        <v>48</v>
      </c>
      <c r="AL43" s="43">
        <v>264000</v>
      </c>
      <c r="AN43" s="42">
        <v>46085</v>
      </c>
      <c r="AO43" s="1" t="s">
        <v>122</v>
      </c>
      <c r="AP43" s="40"/>
      <c r="AQ43" s="43"/>
      <c r="AR43" s="47"/>
      <c r="AS43" s="42">
        <v>46085</v>
      </c>
      <c r="AT43" s="1"/>
      <c r="AU43" s="40"/>
      <c r="AV43" s="43"/>
      <c r="AY43" s="47"/>
    </row>
    <row r="44" spans="1:56">
      <c r="A44" s="295"/>
      <c r="B44" s="295"/>
      <c r="C44" s="92"/>
      <c r="D44" s="92"/>
      <c r="E44" s="106"/>
      <c r="F44" s="114"/>
      <c r="G44" s="114"/>
      <c r="H44" s="114"/>
      <c r="I44" s="114"/>
      <c r="J44" s="114"/>
      <c r="K44" s="114"/>
      <c r="L44" s="114"/>
      <c r="M44" s="114"/>
      <c r="N44" s="92"/>
      <c r="O44" s="92"/>
      <c r="P44" s="106"/>
      <c r="Q44" s="108"/>
      <c r="R44" s="92"/>
      <c r="S44" s="110"/>
      <c r="T44" s="111"/>
      <c r="U44" s="97"/>
      <c r="V44" s="112"/>
      <c r="W44" s="92"/>
      <c r="X44" s="95"/>
      <c r="Y44" s="91">
        <v>46086</v>
      </c>
      <c r="Z44" s="1">
        <v>1</v>
      </c>
      <c r="AA44" s="40">
        <v>126</v>
      </c>
      <c r="AB44" s="43">
        <v>726000</v>
      </c>
      <c r="AD44" s="42">
        <v>46086</v>
      </c>
      <c r="AE44" s="1">
        <v>1</v>
      </c>
      <c r="AF44" s="40">
        <v>24</v>
      </c>
      <c r="AG44" s="43">
        <v>126000</v>
      </c>
      <c r="AH44" s="47"/>
      <c r="AI44" s="42">
        <v>46086</v>
      </c>
      <c r="AJ44" s="1" t="s">
        <v>146</v>
      </c>
      <c r="AK44" s="40"/>
      <c r="AL44" s="43"/>
      <c r="AN44" s="42">
        <v>46086</v>
      </c>
      <c r="AO44" s="1">
        <v>1</v>
      </c>
      <c r="AP44" s="40">
        <v>51</v>
      </c>
      <c r="AQ44" s="43">
        <v>280500</v>
      </c>
      <c r="AR44" s="47"/>
      <c r="AS44" s="42">
        <v>46086</v>
      </c>
      <c r="AT44" s="1">
        <v>1</v>
      </c>
      <c r="AU44" s="40">
        <v>24</v>
      </c>
      <c r="AV44" s="43">
        <v>125000</v>
      </c>
      <c r="AY44" s="47"/>
    </row>
    <row r="45" spans="1:56">
      <c r="A45" s="293"/>
      <c r="B45" s="97"/>
      <c r="C45" s="96"/>
      <c r="D45" s="97"/>
      <c r="E45" s="98"/>
      <c r="F45" s="99"/>
      <c r="G45" s="99"/>
      <c r="H45" s="99"/>
      <c r="I45" s="99"/>
      <c r="J45" s="99"/>
      <c r="K45" s="99"/>
      <c r="L45" s="99"/>
      <c r="M45" s="99"/>
      <c r="N45" s="97"/>
      <c r="O45" s="100"/>
      <c r="P45" s="98"/>
      <c r="Q45" s="115"/>
      <c r="R45" s="96"/>
      <c r="S45" s="102"/>
      <c r="T45" s="103"/>
      <c r="U45" s="104"/>
      <c r="V45" s="102"/>
      <c r="W45" s="105"/>
      <c r="X45" s="95"/>
      <c r="Y45" s="91">
        <v>46087</v>
      </c>
      <c r="Z45" s="1">
        <v>1</v>
      </c>
      <c r="AA45" s="40">
        <v>96</v>
      </c>
      <c r="AB45" s="43">
        <v>524000</v>
      </c>
      <c r="AD45" s="42">
        <v>46087</v>
      </c>
      <c r="AE45" s="1">
        <v>1</v>
      </c>
      <c r="AF45" s="40">
        <v>96</v>
      </c>
      <c r="AG45" s="43">
        <v>516000</v>
      </c>
      <c r="AH45" s="47"/>
      <c r="AI45" s="42">
        <v>46087</v>
      </c>
      <c r="AJ45" s="1">
        <v>1</v>
      </c>
      <c r="AK45" s="40">
        <v>24</v>
      </c>
      <c r="AL45" s="43">
        <v>132000</v>
      </c>
      <c r="AN45" s="42">
        <v>46087</v>
      </c>
      <c r="AO45" s="1">
        <v>1</v>
      </c>
      <c r="AP45" s="40">
        <v>55</v>
      </c>
      <c r="AQ45" s="43">
        <v>302500</v>
      </c>
      <c r="AR45" s="47"/>
      <c r="AS45" s="42">
        <v>46087</v>
      </c>
      <c r="AT45" s="1">
        <v>1</v>
      </c>
      <c r="AU45" s="40">
        <v>24</v>
      </c>
      <c r="AV45" s="43">
        <v>125000</v>
      </c>
      <c r="AY45" s="47"/>
    </row>
    <row r="46" spans="1:56">
      <c r="A46" s="293"/>
      <c r="B46" s="97"/>
      <c r="C46" s="97"/>
      <c r="D46" s="97"/>
      <c r="E46" s="103"/>
      <c r="F46" s="99"/>
      <c r="G46" s="99"/>
      <c r="H46" s="99"/>
      <c r="I46" s="99"/>
      <c r="J46" s="99"/>
      <c r="K46" s="99"/>
      <c r="L46" s="99"/>
      <c r="M46" s="99"/>
      <c r="N46" s="97"/>
      <c r="O46" s="97"/>
      <c r="P46" s="103"/>
      <c r="Q46" s="115"/>
      <c r="R46" s="97"/>
      <c r="S46" s="102"/>
      <c r="T46" s="103"/>
      <c r="U46" s="104"/>
      <c r="V46" s="102"/>
      <c r="W46" s="116"/>
      <c r="X46" s="95"/>
      <c r="Y46" s="91">
        <v>46088</v>
      </c>
      <c r="Z46" s="1">
        <v>1</v>
      </c>
      <c r="AA46" s="1">
        <v>101</v>
      </c>
      <c r="AB46" s="6">
        <v>582000</v>
      </c>
      <c r="AD46" s="42">
        <v>46088</v>
      </c>
      <c r="AE46" s="1">
        <v>1</v>
      </c>
      <c r="AF46" s="40">
        <v>480</v>
      </c>
      <c r="AG46" s="43">
        <v>2520000</v>
      </c>
      <c r="AH46" s="47"/>
      <c r="AI46" s="42">
        <v>46088</v>
      </c>
      <c r="AJ46" s="1">
        <v>1</v>
      </c>
      <c r="AK46" s="40">
        <v>24</v>
      </c>
      <c r="AL46" s="43">
        <v>132000</v>
      </c>
      <c r="AN46" s="42">
        <v>46088</v>
      </c>
      <c r="AO46" s="1">
        <v>1</v>
      </c>
      <c r="AP46" s="40">
        <v>48</v>
      </c>
      <c r="AQ46" s="43">
        <v>264000</v>
      </c>
      <c r="AR46" s="47"/>
      <c r="AS46" s="42">
        <v>46088</v>
      </c>
      <c r="AT46" s="1">
        <v>1</v>
      </c>
      <c r="AU46" s="40">
        <v>48</v>
      </c>
      <c r="AV46" s="43">
        <v>250000</v>
      </c>
      <c r="AY46" s="47"/>
    </row>
    <row r="47" spans="1:56">
      <c r="A47" s="295"/>
      <c r="B47" s="295"/>
      <c r="C47" s="109"/>
      <c r="D47" s="92"/>
      <c r="E47" s="106"/>
      <c r="F47" s="107"/>
      <c r="G47" s="107"/>
      <c r="H47" s="107"/>
      <c r="I47" s="107"/>
      <c r="J47" s="107"/>
      <c r="K47" s="107"/>
      <c r="L47" s="107"/>
      <c r="M47" s="107"/>
      <c r="N47" s="92"/>
      <c r="O47" s="117"/>
      <c r="P47" s="106"/>
      <c r="Q47" s="108"/>
      <c r="R47" s="109"/>
      <c r="S47" s="110"/>
      <c r="T47" s="111"/>
      <c r="U47" s="97"/>
      <c r="V47" s="112"/>
      <c r="W47" s="92"/>
      <c r="X47" s="95"/>
      <c r="Y47" s="91">
        <v>46089</v>
      </c>
      <c r="Z47" s="1">
        <v>1</v>
      </c>
      <c r="AA47" s="1">
        <v>96</v>
      </c>
      <c r="AB47" s="43">
        <v>552000</v>
      </c>
      <c r="AD47" s="42">
        <v>46089</v>
      </c>
      <c r="AE47" s="1">
        <v>1</v>
      </c>
      <c r="AF47" s="40">
        <v>24</v>
      </c>
      <c r="AG47" s="43">
        <v>127000</v>
      </c>
      <c r="AH47" s="47"/>
      <c r="AI47" s="42">
        <v>46089</v>
      </c>
      <c r="AJ47" s="1">
        <v>1</v>
      </c>
      <c r="AK47" s="40">
        <v>96</v>
      </c>
      <c r="AL47" s="43">
        <v>520000</v>
      </c>
      <c r="AN47" s="42">
        <v>46089</v>
      </c>
      <c r="AO47" s="1">
        <v>1</v>
      </c>
      <c r="AP47" s="40">
        <v>96</v>
      </c>
      <c r="AQ47" s="43">
        <v>528000</v>
      </c>
      <c r="AR47" s="47"/>
      <c r="AS47" s="42">
        <v>46089</v>
      </c>
      <c r="AT47" s="1">
        <v>1</v>
      </c>
      <c r="AU47" s="40">
        <v>48</v>
      </c>
      <c r="AV47" s="43">
        <v>250000</v>
      </c>
      <c r="AY47" s="47"/>
    </row>
    <row r="48" spans="1:56">
      <c r="A48" s="97"/>
      <c r="B48" s="97"/>
      <c r="C48" s="96"/>
      <c r="D48" s="97"/>
      <c r="E48" s="118"/>
      <c r="F48" s="99"/>
      <c r="G48" s="99"/>
      <c r="H48" s="99"/>
      <c r="I48" s="99"/>
      <c r="J48" s="99"/>
      <c r="K48" s="99"/>
      <c r="L48" s="99"/>
      <c r="M48" s="99"/>
      <c r="N48" s="97"/>
      <c r="O48" s="100"/>
      <c r="P48" s="118"/>
      <c r="Q48" s="113"/>
      <c r="R48" s="112"/>
      <c r="S48" s="102"/>
      <c r="T48" s="119"/>
      <c r="U48" s="104"/>
      <c r="V48" s="102"/>
      <c r="W48" s="105"/>
      <c r="X48" s="95"/>
      <c r="Y48" s="91">
        <v>46090</v>
      </c>
      <c r="Z48" s="1">
        <v>1</v>
      </c>
      <c r="AA48" s="1">
        <v>96</v>
      </c>
      <c r="AB48" s="6">
        <v>524000</v>
      </c>
      <c r="AD48" s="42">
        <v>46090</v>
      </c>
      <c r="AE48" s="1">
        <v>1</v>
      </c>
      <c r="AF48" s="40">
        <v>24</v>
      </c>
      <c r="AG48" s="43">
        <v>127000</v>
      </c>
      <c r="AH48" s="47"/>
      <c r="AI48" s="42">
        <v>46090</v>
      </c>
      <c r="AJ48" s="1">
        <v>1</v>
      </c>
      <c r="AK48" s="40">
        <v>48</v>
      </c>
      <c r="AL48" s="43">
        <v>264000</v>
      </c>
      <c r="AN48" s="42">
        <v>46090</v>
      </c>
      <c r="AO48" s="1">
        <v>1</v>
      </c>
      <c r="AP48" s="40">
        <v>42</v>
      </c>
      <c r="AQ48" s="43">
        <v>232000</v>
      </c>
      <c r="AR48" s="47"/>
      <c r="AS48" s="42">
        <v>46090</v>
      </c>
      <c r="AT48" s="1">
        <v>1</v>
      </c>
      <c r="AU48" s="40">
        <v>24</v>
      </c>
      <c r="AV48" s="43">
        <v>125000</v>
      </c>
      <c r="AY48" s="47"/>
    </row>
    <row r="49" spans="1:51">
      <c r="A49" s="295"/>
      <c r="B49" s="295"/>
      <c r="C49" s="109"/>
      <c r="D49" s="92"/>
      <c r="E49" s="106"/>
      <c r="F49" s="107"/>
      <c r="G49" s="107"/>
      <c r="H49" s="107"/>
      <c r="I49" s="107"/>
      <c r="J49" s="107"/>
      <c r="K49" s="107"/>
      <c r="L49" s="107"/>
      <c r="M49" s="107"/>
      <c r="N49" s="120"/>
      <c r="O49" s="92"/>
      <c r="P49" s="119"/>
      <c r="Q49" s="108"/>
      <c r="R49" s="109"/>
      <c r="S49" s="110"/>
      <c r="T49" s="119"/>
      <c r="U49" s="97"/>
      <c r="V49" s="112"/>
      <c r="W49" s="92"/>
      <c r="X49" s="95"/>
      <c r="Y49" s="91">
        <v>46091</v>
      </c>
      <c r="Z49" s="1">
        <v>1</v>
      </c>
      <c r="AA49" s="40">
        <v>96</v>
      </c>
      <c r="AB49" s="6">
        <v>524000</v>
      </c>
      <c r="AD49" s="42">
        <v>46091</v>
      </c>
      <c r="AE49" s="1">
        <v>1</v>
      </c>
      <c r="AF49" s="40">
        <v>312</v>
      </c>
      <c r="AG49" s="43">
        <v>1638000</v>
      </c>
      <c r="AH49" s="47"/>
      <c r="AI49" s="42">
        <v>46091</v>
      </c>
      <c r="AJ49" s="1">
        <v>1</v>
      </c>
      <c r="AK49" s="40">
        <v>72</v>
      </c>
      <c r="AL49" s="43">
        <v>390000</v>
      </c>
      <c r="AN49" s="42">
        <v>46091</v>
      </c>
      <c r="AO49" s="1">
        <v>1</v>
      </c>
      <c r="AP49" s="40">
        <v>72</v>
      </c>
      <c r="AQ49" s="43">
        <v>369000</v>
      </c>
      <c r="AR49" s="47"/>
      <c r="AS49" s="42">
        <v>46091</v>
      </c>
      <c r="AT49" s="1">
        <v>1</v>
      </c>
      <c r="AU49" s="40">
        <v>33</v>
      </c>
      <c r="AV49" s="43">
        <v>177200</v>
      </c>
      <c r="AY49" s="47"/>
    </row>
    <row r="50" spans="1:51">
      <c r="A50" s="298"/>
      <c r="B50" s="96"/>
      <c r="C50" s="92"/>
      <c r="D50" s="97"/>
      <c r="E50" s="119"/>
      <c r="F50" s="99"/>
      <c r="G50" s="99"/>
      <c r="H50" s="99"/>
      <c r="I50" s="99"/>
      <c r="J50" s="99"/>
      <c r="K50" s="99"/>
      <c r="L50" s="99"/>
      <c r="M50" s="99"/>
      <c r="N50" s="97"/>
      <c r="O50" s="97"/>
      <c r="P50" s="119"/>
      <c r="Q50" s="113"/>
      <c r="R50" s="109"/>
      <c r="S50" s="104"/>
      <c r="T50" s="103"/>
      <c r="U50" s="104"/>
      <c r="V50" s="102"/>
      <c r="W50" s="105"/>
      <c r="X50" s="95"/>
      <c r="Y50" s="91">
        <v>46092</v>
      </c>
      <c r="Z50" s="1">
        <v>1</v>
      </c>
      <c r="AA50" s="40">
        <v>96</v>
      </c>
      <c r="AB50" s="43">
        <v>524000</v>
      </c>
      <c r="AD50" s="42">
        <v>46092</v>
      </c>
      <c r="AE50" s="1">
        <v>1</v>
      </c>
      <c r="AF50" s="40">
        <v>312</v>
      </c>
      <c r="AG50" s="43">
        <v>1651000</v>
      </c>
      <c r="AH50" s="47"/>
      <c r="AI50" s="42">
        <v>46092</v>
      </c>
      <c r="AJ50" s="1">
        <v>1</v>
      </c>
      <c r="AK50" s="40">
        <v>72</v>
      </c>
      <c r="AL50" s="43">
        <v>390000</v>
      </c>
      <c r="AN50" s="42">
        <v>46092</v>
      </c>
      <c r="AO50" s="1">
        <v>1</v>
      </c>
      <c r="AP50" s="40">
        <v>72</v>
      </c>
      <c r="AQ50" s="43">
        <v>369000</v>
      </c>
      <c r="AR50" s="47"/>
      <c r="AS50" s="42">
        <v>46092</v>
      </c>
      <c r="AT50" s="1">
        <v>1</v>
      </c>
      <c r="AU50" s="40">
        <v>24</v>
      </c>
      <c r="AV50" s="43">
        <v>125000</v>
      </c>
      <c r="AY50" s="47"/>
    </row>
    <row r="51" spans="1:51">
      <c r="A51" s="298"/>
      <c r="B51" s="97"/>
      <c r="C51" s="92"/>
      <c r="D51" s="97"/>
      <c r="E51" s="111"/>
      <c r="F51" s="99"/>
      <c r="G51" s="99"/>
      <c r="H51" s="99"/>
      <c r="I51" s="99"/>
      <c r="J51" s="99"/>
      <c r="K51" s="99"/>
      <c r="L51" s="99"/>
      <c r="M51" s="99"/>
      <c r="N51" s="97"/>
      <c r="O51" s="97"/>
      <c r="P51" s="103"/>
      <c r="Q51" s="113"/>
      <c r="R51" s="97"/>
      <c r="S51" s="104"/>
      <c r="T51" s="103"/>
      <c r="U51" s="104"/>
      <c r="V51" s="102"/>
      <c r="W51" s="105"/>
      <c r="X51" s="95"/>
      <c r="Y51" s="91">
        <v>46093</v>
      </c>
      <c r="Z51" s="1">
        <v>1</v>
      </c>
      <c r="AA51" s="40">
        <v>96</v>
      </c>
      <c r="AB51" s="43">
        <v>552000</v>
      </c>
      <c r="AD51" s="42">
        <v>46093</v>
      </c>
      <c r="AE51" s="1">
        <v>1</v>
      </c>
      <c r="AF51" s="40">
        <v>21</v>
      </c>
      <c r="AG51" s="43">
        <v>147000</v>
      </c>
      <c r="AH51" s="47"/>
      <c r="AI51" s="42">
        <v>46093</v>
      </c>
      <c r="AJ51" s="1">
        <v>1</v>
      </c>
      <c r="AK51" s="40">
        <v>72</v>
      </c>
      <c r="AL51" s="43">
        <v>378000</v>
      </c>
      <c r="AN51" s="42">
        <v>46093</v>
      </c>
      <c r="AO51" s="1">
        <v>1</v>
      </c>
      <c r="AP51" s="40">
        <v>61</v>
      </c>
      <c r="AQ51" s="43">
        <v>335500</v>
      </c>
      <c r="AR51" s="47"/>
      <c r="AS51" s="42">
        <v>46093</v>
      </c>
      <c r="AT51" s="1">
        <v>1</v>
      </c>
      <c r="AU51" s="40">
        <v>24</v>
      </c>
      <c r="AV51" s="43">
        <v>125000</v>
      </c>
      <c r="AY51" s="47"/>
    </row>
    <row r="52" spans="1:51">
      <c r="A52" s="299"/>
      <c r="B52" s="299"/>
      <c r="C52" s="107"/>
      <c r="D52" s="107"/>
      <c r="E52" s="121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21"/>
      <c r="Q52" s="122"/>
      <c r="R52" s="107"/>
      <c r="S52" s="110"/>
      <c r="T52" s="111"/>
      <c r="U52" s="97"/>
      <c r="V52" s="112"/>
      <c r="W52" s="123"/>
      <c r="X52" s="95"/>
      <c r="Y52" s="91">
        <v>46094</v>
      </c>
      <c r="Z52" s="1"/>
      <c r="AA52" s="40"/>
      <c r="AB52" s="43"/>
      <c r="AD52" s="42">
        <v>46094</v>
      </c>
      <c r="AE52" s="1"/>
      <c r="AF52" s="40"/>
      <c r="AG52" s="43"/>
      <c r="AH52" s="47"/>
      <c r="AI52" s="42">
        <v>46094</v>
      </c>
      <c r="AJ52" s="1"/>
      <c r="AK52" s="40"/>
      <c r="AL52" s="43"/>
      <c r="AN52" s="42">
        <v>46094</v>
      </c>
      <c r="AO52" s="1"/>
      <c r="AP52" s="40"/>
      <c r="AQ52" s="43"/>
      <c r="AR52" s="47"/>
      <c r="AS52" s="42">
        <v>46094</v>
      </c>
      <c r="AT52" s="1"/>
      <c r="AU52" s="40"/>
      <c r="AV52" s="43"/>
      <c r="AY52" s="47"/>
    </row>
    <row r="53" spans="1:51">
      <c r="A53" s="295"/>
      <c r="B53" s="295"/>
      <c r="C53" s="107"/>
      <c r="D53" s="107"/>
      <c r="E53" s="124"/>
      <c r="F53" s="125"/>
      <c r="G53" s="125"/>
      <c r="H53" s="125"/>
      <c r="I53" s="125"/>
      <c r="J53" s="125"/>
      <c r="K53" s="125"/>
      <c r="L53" s="125"/>
      <c r="M53" s="125"/>
      <c r="N53" s="107"/>
      <c r="O53" s="107"/>
      <c r="P53" s="124"/>
      <c r="Q53" s="122"/>
      <c r="R53" s="107"/>
      <c r="S53" s="110"/>
      <c r="T53" s="111"/>
      <c r="U53" s="97"/>
      <c r="V53" s="112"/>
      <c r="W53" s="123"/>
      <c r="X53" s="95"/>
      <c r="Y53" s="91">
        <v>46095</v>
      </c>
      <c r="Z53" s="1"/>
      <c r="AA53" s="40"/>
      <c r="AB53" s="43"/>
      <c r="AD53" s="42">
        <v>46095</v>
      </c>
      <c r="AE53" s="1"/>
      <c r="AF53" s="40"/>
      <c r="AG53" s="43"/>
      <c r="AH53" s="47"/>
      <c r="AI53" s="42">
        <v>46095</v>
      </c>
      <c r="AJ53" s="1"/>
      <c r="AK53" s="40"/>
      <c r="AL53" s="43"/>
      <c r="AN53" s="42">
        <v>46095</v>
      </c>
      <c r="AO53" s="1"/>
      <c r="AP53" s="40"/>
      <c r="AQ53" s="43"/>
      <c r="AR53" s="47"/>
      <c r="AS53" s="42">
        <v>46095</v>
      </c>
      <c r="AT53" s="1"/>
      <c r="AU53" s="40"/>
      <c r="AV53" s="43"/>
      <c r="AY53" s="47"/>
    </row>
    <row r="54" spans="1:5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1">
        <v>46096</v>
      </c>
      <c r="Z54" s="1"/>
      <c r="AA54" s="40">
        <v>0</v>
      </c>
      <c r="AB54" s="43"/>
      <c r="AD54" s="42">
        <v>46096</v>
      </c>
      <c r="AE54" s="1"/>
      <c r="AF54" s="40">
        <v>0</v>
      </c>
      <c r="AG54" s="43"/>
      <c r="AH54" s="47"/>
      <c r="AI54" s="42">
        <v>46096</v>
      </c>
      <c r="AJ54" s="1"/>
      <c r="AK54" s="40">
        <v>0</v>
      </c>
      <c r="AL54" s="43"/>
      <c r="AN54" s="42">
        <v>46096</v>
      </c>
      <c r="AO54" s="1"/>
      <c r="AP54" s="40">
        <v>0</v>
      </c>
      <c r="AQ54" s="43"/>
      <c r="AR54" s="47"/>
      <c r="AS54" s="42">
        <v>46096</v>
      </c>
      <c r="AT54" s="1"/>
      <c r="AU54" s="40">
        <v>0</v>
      </c>
      <c r="AV54" s="43"/>
      <c r="AY54" s="47"/>
    </row>
    <row r="55" spans="1:51">
      <c r="Y55" s="42">
        <v>46097</v>
      </c>
      <c r="Z55" s="1"/>
      <c r="AA55" s="40"/>
      <c r="AB55" s="43"/>
      <c r="AD55" s="42">
        <v>46097</v>
      </c>
      <c r="AE55" s="1"/>
      <c r="AF55" s="40"/>
      <c r="AG55" s="43"/>
      <c r="AH55" s="47"/>
      <c r="AI55" s="42">
        <v>46097</v>
      </c>
      <c r="AJ55" s="1"/>
      <c r="AK55" s="40"/>
      <c r="AL55" s="43"/>
      <c r="AN55" s="42">
        <v>46097</v>
      </c>
      <c r="AO55" s="1"/>
      <c r="AP55" s="40"/>
      <c r="AQ55" s="43"/>
      <c r="AR55" s="47"/>
      <c r="AS55" s="42">
        <v>46097</v>
      </c>
      <c r="AT55" s="1"/>
      <c r="AU55" s="40"/>
      <c r="AV55" s="43"/>
      <c r="AY55" s="47"/>
    </row>
    <row r="56" spans="1:51">
      <c r="Y56" s="42">
        <v>46098</v>
      </c>
      <c r="Z56" s="1"/>
      <c r="AA56" s="40"/>
      <c r="AB56" s="43"/>
      <c r="AD56" s="42">
        <v>46098</v>
      </c>
      <c r="AE56" s="1"/>
      <c r="AF56" s="40"/>
      <c r="AG56" s="43"/>
      <c r="AH56" s="47"/>
      <c r="AI56" s="42">
        <v>46098</v>
      </c>
      <c r="AJ56" s="1"/>
      <c r="AK56" s="40"/>
      <c r="AL56" s="43"/>
      <c r="AN56" s="42">
        <v>46098</v>
      </c>
      <c r="AO56" s="1"/>
      <c r="AP56" s="40"/>
      <c r="AQ56" s="43"/>
      <c r="AR56" s="47"/>
      <c r="AS56" s="42">
        <v>46098</v>
      </c>
      <c r="AT56" s="1"/>
      <c r="AU56" s="40"/>
      <c r="AV56" s="43"/>
      <c r="AY56" s="47"/>
    </row>
    <row r="57" spans="1:51">
      <c r="Y57" s="42">
        <v>46099</v>
      </c>
      <c r="Z57" s="1"/>
      <c r="AA57" s="40"/>
      <c r="AB57" s="43"/>
      <c r="AD57" s="42">
        <v>46099</v>
      </c>
      <c r="AE57" s="1"/>
      <c r="AF57" s="40"/>
      <c r="AG57" s="43"/>
      <c r="AH57" s="47"/>
      <c r="AI57" s="42">
        <v>46099</v>
      </c>
      <c r="AJ57" s="1"/>
      <c r="AK57" s="40"/>
      <c r="AL57" s="43"/>
      <c r="AN57" s="42">
        <v>46099</v>
      </c>
      <c r="AO57" s="1"/>
      <c r="AP57" s="40"/>
      <c r="AQ57" s="43"/>
      <c r="AR57" s="47"/>
      <c r="AS57" s="42">
        <v>46099</v>
      </c>
      <c r="AT57" s="1"/>
      <c r="AU57" s="40"/>
      <c r="AV57" s="43"/>
      <c r="AY57" s="47"/>
    </row>
    <row r="58" spans="1:51" ht="45">
      <c r="N58" s="54" t="s">
        <v>130</v>
      </c>
      <c r="O58" s="54" t="s">
        <v>153</v>
      </c>
      <c r="P58" s="54" t="s">
        <v>154</v>
      </c>
      <c r="Q58" s="54" t="s">
        <v>155</v>
      </c>
      <c r="R58" s="54" t="s">
        <v>156</v>
      </c>
      <c r="S58" s="54" t="s">
        <v>157</v>
      </c>
      <c r="T58" s="54" t="s">
        <v>158</v>
      </c>
      <c r="Y58" s="42">
        <v>46100</v>
      </c>
      <c r="Z58" s="1"/>
      <c r="AA58" s="40"/>
      <c r="AB58" s="43"/>
      <c r="AD58" s="42">
        <v>46100</v>
      </c>
      <c r="AE58" s="1"/>
      <c r="AF58" s="40"/>
      <c r="AG58" s="43"/>
      <c r="AH58" s="47"/>
      <c r="AI58" s="42">
        <v>46100</v>
      </c>
      <c r="AJ58" s="1"/>
      <c r="AK58" s="40"/>
      <c r="AL58" s="43"/>
      <c r="AN58" s="42">
        <v>46100</v>
      </c>
      <c r="AO58" s="1"/>
      <c r="AP58" s="40"/>
      <c r="AQ58" s="43"/>
      <c r="AR58" s="47"/>
      <c r="AS58" s="42">
        <v>46100</v>
      </c>
      <c r="AT58" s="1"/>
      <c r="AU58" s="40"/>
      <c r="AV58" s="43"/>
      <c r="AY58" s="47"/>
    </row>
    <row r="59" spans="1:51">
      <c r="N59" s="40" t="s">
        <v>26</v>
      </c>
      <c r="O59" s="40" t="s">
        <v>159</v>
      </c>
      <c r="P59" s="57">
        <v>3695000</v>
      </c>
      <c r="Q59" s="57">
        <v>4555894</v>
      </c>
      <c r="R59" s="56">
        <v>1.23</v>
      </c>
      <c r="S59" s="58">
        <v>11389735</v>
      </c>
      <c r="T59" s="58">
        <v>7694735</v>
      </c>
      <c r="Y59" s="42">
        <v>46101</v>
      </c>
      <c r="Z59" s="1"/>
      <c r="AA59" s="40"/>
      <c r="AB59" s="43"/>
      <c r="AD59" s="42">
        <v>46101</v>
      </c>
      <c r="AE59" s="1"/>
      <c r="AF59" s="40"/>
      <c r="AG59" s="43"/>
      <c r="AH59" s="47"/>
      <c r="AI59" s="42">
        <v>46101</v>
      </c>
      <c r="AJ59" s="1"/>
      <c r="AK59" s="40"/>
      <c r="AL59" s="43"/>
      <c r="AN59" s="42">
        <v>46101</v>
      </c>
      <c r="AO59" s="1"/>
      <c r="AP59" s="40"/>
      <c r="AQ59" s="43"/>
      <c r="AR59" s="47"/>
      <c r="AS59" s="42">
        <v>46101</v>
      </c>
      <c r="AT59" s="1"/>
      <c r="AU59" s="40"/>
      <c r="AV59" s="43"/>
      <c r="AY59" s="47"/>
    </row>
    <row r="60" spans="1:51">
      <c r="N60" s="40" t="s">
        <v>26</v>
      </c>
      <c r="O60" s="40" t="s">
        <v>35</v>
      </c>
      <c r="P60" s="57">
        <v>4200000</v>
      </c>
      <c r="Q60" s="57">
        <v>4555894</v>
      </c>
      <c r="R60" s="56">
        <v>1.08</v>
      </c>
      <c r="S60" s="58">
        <v>11389735</v>
      </c>
      <c r="T60" s="58">
        <v>7189735</v>
      </c>
      <c r="Y60" s="42">
        <v>46102</v>
      </c>
      <c r="Z60" s="1"/>
      <c r="AA60" s="40"/>
      <c r="AB60" s="43"/>
      <c r="AD60" s="42">
        <v>46102</v>
      </c>
      <c r="AE60" s="1"/>
      <c r="AF60" s="40"/>
      <c r="AG60" s="43"/>
      <c r="AH60" s="47"/>
      <c r="AI60" s="42">
        <v>46102</v>
      </c>
      <c r="AJ60" s="1"/>
      <c r="AK60" s="40"/>
      <c r="AL60" s="43"/>
      <c r="AN60" s="42">
        <v>46102</v>
      </c>
      <c r="AO60" s="1"/>
      <c r="AP60" s="40"/>
      <c r="AQ60" s="43"/>
      <c r="AR60" s="47"/>
      <c r="AS60" s="42">
        <v>46102</v>
      </c>
      <c r="AT60" s="1"/>
      <c r="AU60" s="40"/>
      <c r="AV60" s="43"/>
      <c r="AY60" s="47"/>
    </row>
    <row r="61" spans="1:51">
      <c r="N61" s="40" t="s">
        <v>26</v>
      </c>
      <c r="O61" s="40" t="s">
        <v>32</v>
      </c>
      <c r="P61" s="57">
        <v>4480000</v>
      </c>
      <c r="Q61" s="57">
        <v>4555894</v>
      </c>
      <c r="R61" s="56">
        <v>1.02</v>
      </c>
      <c r="S61" s="58">
        <v>11389735</v>
      </c>
      <c r="T61" s="58">
        <v>6909735</v>
      </c>
      <c r="Y61" s="42">
        <v>46103</v>
      </c>
      <c r="Z61" s="1"/>
      <c r="AA61" s="40">
        <v>0</v>
      </c>
      <c r="AB61" s="43"/>
      <c r="AD61" s="42">
        <v>46103</v>
      </c>
      <c r="AE61" s="1"/>
      <c r="AF61" s="40">
        <v>0</v>
      </c>
      <c r="AG61" s="43"/>
      <c r="AH61" s="47"/>
      <c r="AI61" s="42">
        <v>46103</v>
      </c>
      <c r="AJ61" s="1"/>
      <c r="AK61" s="40">
        <v>0</v>
      </c>
      <c r="AL61" s="43"/>
      <c r="AN61" s="42">
        <v>46103</v>
      </c>
      <c r="AO61" s="1"/>
      <c r="AP61" s="40">
        <v>0</v>
      </c>
      <c r="AQ61" s="43"/>
      <c r="AR61" s="47"/>
      <c r="AS61" s="42">
        <v>46103</v>
      </c>
      <c r="AT61" s="1"/>
      <c r="AU61" s="40">
        <v>0</v>
      </c>
      <c r="AV61" s="43"/>
      <c r="AY61" s="47"/>
    </row>
    <row r="62" spans="1:51">
      <c r="N62" s="40" t="s">
        <v>26</v>
      </c>
      <c r="O62" s="40" t="s">
        <v>160</v>
      </c>
      <c r="P62" s="57">
        <v>3934000</v>
      </c>
      <c r="Q62" s="57">
        <v>4555894</v>
      </c>
      <c r="R62" s="56">
        <v>1.1599999999999999</v>
      </c>
      <c r="S62" s="58">
        <v>11389735</v>
      </c>
      <c r="T62" s="58">
        <v>7455735</v>
      </c>
      <c r="Y62" s="42">
        <v>46104</v>
      </c>
      <c r="Z62" s="1"/>
      <c r="AA62" s="40"/>
      <c r="AB62" s="43"/>
      <c r="AD62" s="42">
        <v>46104</v>
      </c>
      <c r="AE62" s="1"/>
      <c r="AF62" s="40"/>
      <c r="AG62" s="43"/>
      <c r="AH62" s="47"/>
      <c r="AI62" s="42">
        <v>46104</v>
      </c>
      <c r="AJ62" s="1"/>
      <c r="AK62" s="40"/>
      <c r="AL62" s="43"/>
      <c r="AN62" s="42">
        <v>46104</v>
      </c>
      <c r="AO62" s="1"/>
      <c r="AP62" s="40"/>
      <c r="AQ62" s="43"/>
      <c r="AR62" s="47"/>
      <c r="AS62" s="42">
        <v>46104</v>
      </c>
      <c r="AT62" s="1"/>
      <c r="AU62" s="40"/>
      <c r="AV62" s="43"/>
      <c r="AY62" s="47"/>
    </row>
    <row r="63" spans="1:51">
      <c r="N63" s="40" t="s">
        <v>51</v>
      </c>
      <c r="O63" s="40" t="s">
        <v>161</v>
      </c>
      <c r="P63" s="57">
        <v>3417500</v>
      </c>
      <c r="Q63" s="57">
        <v>4556694</v>
      </c>
      <c r="R63" s="56">
        <v>1.33</v>
      </c>
      <c r="S63" s="58">
        <v>11391735</v>
      </c>
      <c r="T63" s="58">
        <v>7974235</v>
      </c>
      <c r="Y63" s="42">
        <v>46105</v>
      </c>
      <c r="Z63" s="1"/>
      <c r="AA63" s="40"/>
      <c r="AB63" s="43"/>
      <c r="AD63" s="42">
        <v>46105</v>
      </c>
      <c r="AE63" s="1"/>
      <c r="AF63" s="40"/>
      <c r="AG63" s="43"/>
      <c r="AH63" s="47"/>
      <c r="AI63" s="42">
        <v>46105</v>
      </c>
      <c r="AJ63" s="1"/>
      <c r="AK63" s="40"/>
      <c r="AL63" s="43"/>
      <c r="AN63" s="42">
        <v>46105</v>
      </c>
      <c r="AO63" s="1"/>
      <c r="AP63" s="40"/>
      <c r="AQ63" s="43"/>
      <c r="AR63" s="47"/>
      <c r="AS63" s="42">
        <v>46105</v>
      </c>
      <c r="AT63" s="1"/>
      <c r="AU63" s="40"/>
      <c r="AV63" s="43"/>
      <c r="AY63" s="47"/>
    </row>
    <row r="64" spans="1:51">
      <c r="N64" s="40" t="s">
        <v>51</v>
      </c>
      <c r="O64" s="40" t="s">
        <v>162</v>
      </c>
      <c r="P64" s="57">
        <v>1302200</v>
      </c>
      <c r="Q64" s="57">
        <v>4556694</v>
      </c>
      <c r="R64" s="56">
        <v>3.5</v>
      </c>
      <c r="S64" s="58">
        <v>11391735</v>
      </c>
      <c r="T64" s="58">
        <v>10089535</v>
      </c>
      <c r="Y64" s="42">
        <v>46106</v>
      </c>
      <c r="Z64" s="1"/>
      <c r="AA64" s="40"/>
      <c r="AB64" s="43"/>
      <c r="AD64" s="42">
        <v>46106</v>
      </c>
      <c r="AE64" s="1"/>
      <c r="AF64" s="40"/>
      <c r="AG64" s="43"/>
      <c r="AH64" s="47"/>
      <c r="AI64" s="42">
        <v>46106</v>
      </c>
      <c r="AJ64" s="1"/>
      <c r="AK64" s="40"/>
      <c r="AL64" s="43"/>
      <c r="AN64" s="42">
        <v>46106</v>
      </c>
      <c r="AO64" s="1"/>
      <c r="AP64" s="40"/>
      <c r="AQ64" s="43"/>
      <c r="AR64" s="47"/>
      <c r="AS64" s="42">
        <v>46106</v>
      </c>
      <c r="AT64" s="1"/>
      <c r="AU64" s="40"/>
      <c r="AV64" s="43"/>
      <c r="AY64" s="47"/>
    </row>
    <row r="65" spans="14:51">
      <c r="N65" s="40" t="s">
        <v>163</v>
      </c>
      <c r="O65" s="40" t="s">
        <v>59</v>
      </c>
      <c r="P65" s="57">
        <v>7739000</v>
      </c>
      <c r="Q65" s="57">
        <v>4424677</v>
      </c>
      <c r="R65" s="56">
        <v>0.56999999999999995</v>
      </c>
      <c r="S65" s="58">
        <v>11061692</v>
      </c>
      <c r="T65" s="58">
        <v>3322692</v>
      </c>
      <c r="Y65" s="42">
        <v>46107</v>
      </c>
      <c r="Z65" s="1"/>
      <c r="AA65" s="40"/>
      <c r="AB65" s="43"/>
      <c r="AD65" s="42">
        <v>46107</v>
      </c>
      <c r="AE65" s="1"/>
      <c r="AF65" s="40"/>
      <c r="AG65" s="43"/>
      <c r="AH65" s="47"/>
      <c r="AI65" s="42">
        <v>46107</v>
      </c>
      <c r="AJ65" s="1"/>
      <c r="AK65" s="40"/>
      <c r="AL65" s="43"/>
      <c r="AN65" s="42">
        <v>46107</v>
      </c>
      <c r="AO65" s="1"/>
      <c r="AP65" s="40"/>
      <c r="AQ65" s="43"/>
      <c r="AR65" s="47"/>
      <c r="AS65" s="42">
        <v>46107</v>
      </c>
      <c r="AT65" s="1"/>
      <c r="AU65" s="40"/>
      <c r="AV65" s="43"/>
      <c r="AY65" s="47"/>
    </row>
    <row r="66" spans="14:51">
      <c r="N66" s="40" t="s">
        <v>163</v>
      </c>
      <c r="O66" s="40" t="s">
        <v>164</v>
      </c>
      <c r="P66" s="57">
        <v>2470000</v>
      </c>
      <c r="Q66" s="57">
        <v>4424677</v>
      </c>
      <c r="R66" s="56">
        <v>1.79</v>
      </c>
      <c r="S66" s="58">
        <v>11061692</v>
      </c>
      <c r="T66" s="58">
        <v>8591692</v>
      </c>
      <c r="Y66" s="42">
        <v>46108</v>
      </c>
      <c r="Z66" s="1"/>
      <c r="AA66" s="40"/>
      <c r="AB66" s="43"/>
      <c r="AD66" s="42">
        <v>46108</v>
      </c>
      <c r="AE66" s="1"/>
      <c r="AF66" s="40"/>
      <c r="AG66" s="43"/>
      <c r="AH66" s="47"/>
      <c r="AI66" s="42">
        <v>46108</v>
      </c>
      <c r="AJ66" s="1"/>
      <c r="AK66" s="40"/>
      <c r="AL66" s="43"/>
      <c r="AN66" s="42">
        <v>46108</v>
      </c>
      <c r="AO66" s="1"/>
      <c r="AP66" s="40"/>
      <c r="AQ66" s="43"/>
      <c r="AR66" s="47"/>
      <c r="AS66" s="42">
        <v>46108</v>
      </c>
      <c r="AT66" s="1"/>
      <c r="AU66" s="40"/>
      <c r="AV66" s="43"/>
      <c r="AY66" s="47"/>
    </row>
    <row r="67" spans="14:51">
      <c r="N67" s="40" t="s">
        <v>165</v>
      </c>
      <c r="O67" s="40" t="s">
        <v>166</v>
      </c>
      <c r="P67" s="57">
        <v>6138000</v>
      </c>
      <c r="Q67" s="57">
        <v>5442169</v>
      </c>
      <c r="R67" s="56">
        <v>0.89</v>
      </c>
      <c r="S67" s="58">
        <v>13605422</v>
      </c>
      <c r="T67" s="58">
        <v>7467422</v>
      </c>
      <c r="Y67" s="42">
        <v>46109</v>
      </c>
      <c r="Z67" s="1"/>
      <c r="AA67" s="40"/>
      <c r="AB67" s="43"/>
      <c r="AD67" s="42">
        <v>46109</v>
      </c>
      <c r="AE67" s="1"/>
      <c r="AF67" s="40"/>
      <c r="AG67" s="43"/>
      <c r="AH67" s="47"/>
      <c r="AI67" s="42">
        <v>46109</v>
      </c>
      <c r="AJ67" s="1"/>
      <c r="AK67" s="40"/>
      <c r="AL67" s="43"/>
      <c r="AN67" s="42">
        <v>46109</v>
      </c>
      <c r="AO67" s="1"/>
      <c r="AP67" s="40"/>
      <c r="AQ67" s="43"/>
      <c r="AR67" s="47"/>
      <c r="AS67" s="42">
        <v>46109</v>
      </c>
      <c r="AT67" s="1"/>
      <c r="AU67" s="40"/>
      <c r="AV67" s="43"/>
      <c r="AY67" s="47"/>
    </row>
    <row r="68" spans="14:51">
      <c r="N68" s="40" t="s">
        <v>71</v>
      </c>
      <c r="O68" s="40" t="s">
        <v>73</v>
      </c>
      <c r="P68" s="57">
        <v>4275000</v>
      </c>
      <c r="Q68" s="57">
        <v>4683882</v>
      </c>
      <c r="R68" s="56">
        <v>1.1000000000000001</v>
      </c>
      <c r="S68" s="58">
        <v>11709705</v>
      </c>
      <c r="T68" s="58">
        <v>7434705</v>
      </c>
      <c r="Y68" s="42">
        <v>46110</v>
      </c>
      <c r="Z68" s="1"/>
      <c r="AA68" s="40"/>
      <c r="AB68" s="43"/>
      <c r="AD68" s="42">
        <v>46110</v>
      </c>
      <c r="AE68" s="1"/>
      <c r="AF68" s="40"/>
      <c r="AG68" s="43"/>
      <c r="AH68" s="47"/>
      <c r="AI68" s="42">
        <v>46110</v>
      </c>
      <c r="AJ68" s="1"/>
      <c r="AK68" s="40"/>
      <c r="AL68" s="43"/>
      <c r="AN68" s="42">
        <v>46110</v>
      </c>
      <c r="AO68" s="1"/>
      <c r="AP68" s="40"/>
      <c r="AQ68" s="43"/>
      <c r="AR68" s="47"/>
      <c r="AS68" s="42">
        <v>46110</v>
      </c>
      <c r="AT68" s="1"/>
      <c r="AU68" s="40"/>
      <c r="AV68" s="43"/>
      <c r="AY68" s="47"/>
    </row>
    <row r="69" spans="14:51">
      <c r="N69" s="40" t="s">
        <v>71</v>
      </c>
      <c r="O69" s="40" t="s">
        <v>167</v>
      </c>
      <c r="P69" s="57">
        <v>3747000</v>
      </c>
      <c r="Q69" s="57">
        <v>4683882</v>
      </c>
      <c r="R69" s="56">
        <v>1.25</v>
      </c>
      <c r="S69" s="58">
        <v>11709705</v>
      </c>
      <c r="T69" s="58">
        <v>7962705</v>
      </c>
      <c r="Y69" s="42">
        <v>46111</v>
      </c>
      <c r="Z69" s="1"/>
      <c r="AA69" s="40"/>
      <c r="AB69" s="43"/>
      <c r="AD69" s="42">
        <v>46111</v>
      </c>
      <c r="AE69" s="1"/>
      <c r="AF69" s="40"/>
      <c r="AG69" s="43"/>
      <c r="AH69" s="47"/>
      <c r="AI69" s="42">
        <v>46111</v>
      </c>
      <c r="AJ69" s="1"/>
      <c r="AK69" s="40"/>
      <c r="AL69" s="43"/>
      <c r="AN69" s="42">
        <v>46111</v>
      </c>
      <c r="AO69" s="1"/>
      <c r="AP69" s="40"/>
      <c r="AQ69" s="43"/>
      <c r="AR69" s="47"/>
      <c r="AS69" s="42">
        <v>46111</v>
      </c>
      <c r="AT69" s="1"/>
      <c r="AU69" s="40"/>
      <c r="AV69" s="43"/>
      <c r="AY69" s="47"/>
    </row>
    <row r="70" spans="14:51">
      <c r="Y70" s="42">
        <v>46112</v>
      </c>
      <c r="Z70" s="1"/>
      <c r="AA70" s="40"/>
      <c r="AB70" s="43"/>
      <c r="AD70" s="42">
        <v>46112</v>
      </c>
      <c r="AE70" s="1"/>
      <c r="AF70" s="40"/>
      <c r="AG70" s="43"/>
      <c r="AH70" s="47"/>
      <c r="AI70" s="42">
        <v>46112</v>
      </c>
      <c r="AJ70" s="1"/>
      <c r="AK70" s="40"/>
      <c r="AL70" s="43"/>
      <c r="AN70" s="42">
        <v>46112</v>
      </c>
      <c r="AO70" s="1"/>
      <c r="AP70" s="40"/>
      <c r="AQ70" s="43"/>
      <c r="AR70" s="47"/>
      <c r="AS70" s="42">
        <v>46112</v>
      </c>
      <c r="AT70" s="1"/>
      <c r="AU70" s="40"/>
      <c r="AV70" s="43"/>
      <c r="AY70" s="47"/>
    </row>
    <row r="71" spans="14:51">
      <c r="AN71" s="51"/>
      <c r="AO71" s="51"/>
      <c r="AP71" s="51"/>
      <c r="AQ71" s="51"/>
      <c r="AY71" s="47"/>
    </row>
    <row r="72" spans="14:51" ht="30">
      <c r="N72" s="54" t="s">
        <v>130</v>
      </c>
      <c r="O72" s="54" t="s">
        <v>168</v>
      </c>
      <c r="P72" s="54" t="s">
        <v>169</v>
      </c>
      <c r="Q72" s="54" t="s">
        <v>157</v>
      </c>
      <c r="R72" s="54" t="s">
        <v>170</v>
      </c>
    </row>
    <row r="73" spans="14:51">
      <c r="N73" s="40" t="s">
        <v>51</v>
      </c>
      <c r="O73" s="57">
        <v>4719700</v>
      </c>
      <c r="P73" s="57">
        <v>9113388</v>
      </c>
      <c r="Q73" s="58">
        <v>22783470</v>
      </c>
      <c r="R73" s="57">
        <v>18063770</v>
      </c>
    </row>
    <row r="74" spans="14:51">
      <c r="N74" s="40" t="s">
        <v>26</v>
      </c>
      <c r="O74" s="57">
        <v>16309000</v>
      </c>
      <c r="P74" s="57">
        <v>18223576</v>
      </c>
      <c r="Q74" s="58">
        <v>45558940</v>
      </c>
      <c r="R74" s="57">
        <v>29249940</v>
      </c>
    </row>
    <row r="75" spans="14:51">
      <c r="N75" s="40" t="s">
        <v>163</v>
      </c>
      <c r="O75" s="57">
        <v>10209000</v>
      </c>
      <c r="P75" s="57">
        <v>8849354</v>
      </c>
      <c r="Q75" s="58">
        <v>22123385</v>
      </c>
      <c r="R75" s="57">
        <v>11914385</v>
      </c>
    </row>
    <row r="76" spans="14:51">
      <c r="N76" s="40" t="s">
        <v>71</v>
      </c>
      <c r="O76" s="57">
        <v>8022000</v>
      </c>
      <c r="P76" s="57">
        <v>9367764</v>
      </c>
      <c r="Q76" s="58">
        <v>23419410</v>
      </c>
      <c r="R76" s="57">
        <v>15397410</v>
      </c>
    </row>
    <row r="77" spans="14:51">
      <c r="N77" s="40" t="s">
        <v>165</v>
      </c>
      <c r="O77" s="57">
        <v>6138000</v>
      </c>
      <c r="P77" s="57">
        <v>5442169</v>
      </c>
      <c r="Q77" s="58">
        <v>13605422</v>
      </c>
      <c r="R77" s="57">
        <v>7467422</v>
      </c>
    </row>
    <row r="82" spans="14:24" ht="45">
      <c r="N82" s="55" t="s">
        <v>130</v>
      </c>
      <c r="O82" s="55" t="s">
        <v>153</v>
      </c>
      <c r="P82" s="55" t="s">
        <v>171</v>
      </c>
      <c r="Q82" s="55" t="s">
        <v>172</v>
      </c>
      <c r="R82" s="55" t="s">
        <v>173</v>
      </c>
      <c r="S82" s="55" t="s">
        <v>174</v>
      </c>
      <c r="T82" s="55" t="s">
        <v>175</v>
      </c>
      <c r="U82" s="55" t="s">
        <v>176</v>
      </c>
      <c r="V82" s="55" t="s">
        <v>177</v>
      </c>
      <c r="W82" s="55" t="s">
        <v>178</v>
      </c>
      <c r="X82" s="55" t="s">
        <v>179</v>
      </c>
    </row>
    <row r="83" spans="14:24">
      <c r="N83" s="40" t="s">
        <v>26</v>
      </c>
      <c r="O83" s="40" t="s">
        <v>159</v>
      </c>
      <c r="P83" s="40">
        <v>18</v>
      </c>
      <c r="Q83" s="40">
        <v>72</v>
      </c>
      <c r="R83" s="65">
        <v>1296</v>
      </c>
      <c r="S83" s="57">
        <v>6972000</v>
      </c>
      <c r="T83" s="57">
        <v>4555894</v>
      </c>
      <c r="U83" s="65">
        <v>1656</v>
      </c>
      <c r="V83" s="57">
        <v>8908667</v>
      </c>
      <c r="W83" s="66">
        <v>0.71899999999999997</v>
      </c>
      <c r="X83" s="67">
        <v>0.51100000000000001</v>
      </c>
    </row>
    <row r="84" spans="14:24">
      <c r="N84" s="40" t="s">
        <v>26</v>
      </c>
      <c r="O84" s="40" t="s">
        <v>35</v>
      </c>
      <c r="P84" s="40">
        <v>19</v>
      </c>
      <c r="Q84" s="40">
        <v>87</v>
      </c>
      <c r="R84" s="65">
        <v>1656</v>
      </c>
      <c r="S84" s="57">
        <v>9240000</v>
      </c>
      <c r="T84" s="57">
        <v>4555894</v>
      </c>
      <c r="U84" s="65">
        <v>2091</v>
      </c>
      <c r="V84" s="57">
        <v>11671579</v>
      </c>
      <c r="W84" s="66">
        <v>0.90800000000000003</v>
      </c>
      <c r="X84" s="67">
        <v>0.39</v>
      </c>
    </row>
    <row r="85" spans="14:24">
      <c r="N85" s="40" t="s">
        <v>26</v>
      </c>
      <c r="O85" s="40" t="s">
        <v>32</v>
      </c>
      <c r="P85" s="40">
        <v>20</v>
      </c>
      <c r="Q85" s="40">
        <v>92</v>
      </c>
      <c r="R85" s="65">
        <v>1848</v>
      </c>
      <c r="S85" s="57">
        <v>9768000</v>
      </c>
      <c r="T85" s="57">
        <v>4555894</v>
      </c>
      <c r="U85" s="65">
        <v>2308</v>
      </c>
      <c r="V85" s="57">
        <v>12210000</v>
      </c>
      <c r="W85" s="66">
        <v>1.002</v>
      </c>
      <c r="X85" s="67">
        <v>0.373</v>
      </c>
    </row>
    <row r="86" spans="14:24">
      <c r="N86" s="40" t="s">
        <v>26</v>
      </c>
      <c r="O86" s="40" t="s">
        <v>160</v>
      </c>
      <c r="P86" s="40">
        <v>19</v>
      </c>
      <c r="Q86" s="40">
        <v>95</v>
      </c>
      <c r="R86" s="65">
        <v>1799</v>
      </c>
      <c r="S86" s="57">
        <v>9488000</v>
      </c>
      <c r="T86" s="57">
        <v>4555894</v>
      </c>
      <c r="U86" s="65">
        <v>2274</v>
      </c>
      <c r="V86" s="57">
        <v>11984842</v>
      </c>
      <c r="W86" s="66">
        <v>0.98699999999999999</v>
      </c>
      <c r="X86" s="67">
        <v>0.38</v>
      </c>
    </row>
    <row r="87" spans="14:24">
      <c r="N87" s="40" t="s">
        <v>51</v>
      </c>
      <c r="O87" s="40" t="s">
        <v>161</v>
      </c>
      <c r="P87" s="40">
        <v>19</v>
      </c>
      <c r="Q87" s="40">
        <v>62</v>
      </c>
      <c r="R87" s="65">
        <v>1266</v>
      </c>
      <c r="S87" s="57">
        <v>6828500</v>
      </c>
      <c r="T87" s="57">
        <v>4556694</v>
      </c>
      <c r="U87" s="65">
        <v>1576</v>
      </c>
      <c r="V87" s="57">
        <v>8625474</v>
      </c>
      <c r="W87" s="66">
        <v>0.68400000000000005</v>
      </c>
      <c r="X87" s="67">
        <v>0.52800000000000002</v>
      </c>
    </row>
    <row r="88" spans="14:24">
      <c r="N88" s="40" t="s">
        <v>51</v>
      </c>
      <c r="O88" s="40" t="s">
        <v>162</v>
      </c>
      <c r="P88" s="40">
        <v>19</v>
      </c>
      <c r="Q88" s="40">
        <v>45</v>
      </c>
      <c r="R88" s="40">
        <v>859</v>
      </c>
      <c r="S88" s="57">
        <v>4951400</v>
      </c>
      <c r="T88" s="57">
        <v>4556694</v>
      </c>
      <c r="U88" s="65">
        <v>1084</v>
      </c>
      <c r="V88" s="57">
        <v>6254400</v>
      </c>
      <c r="W88" s="66">
        <v>0.47</v>
      </c>
      <c r="X88" s="67">
        <v>0.72899999999999998</v>
      </c>
    </row>
    <row r="89" spans="14:24">
      <c r="N89" s="40" t="s">
        <v>163</v>
      </c>
      <c r="O89" s="40" t="s">
        <v>59</v>
      </c>
      <c r="P89" s="40">
        <v>19</v>
      </c>
      <c r="Q89" s="40">
        <v>107</v>
      </c>
      <c r="R89" s="65">
        <v>2039</v>
      </c>
      <c r="S89" s="57">
        <v>12382000</v>
      </c>
      <c r="T89" s="57">
        <v>4424677</v>
      </c>
      <c r="U89" s="65">
        <v>2574</v>
      </c>
      <c r="V89" s="57">
        <v>15640421</v>
      </c>
      <c r="W89" s="66">
        <v>1.117</v>
      </c>
      <c r="X89" s="67">
        <v>0.28299999999999997</v>
      </c>
    </row>
    <row r="90" spans="14:24">
      <c r="N90" s="40" t="s">
        <v>163</v>
      </c>
      <c r="O90" s="40" t="s">
        <v>164</v>
      </c>
      <c r="P90" s="40">
        <v>19</v>
      </c>
      <c r="Q90" s="40">
        <v>98</v>
      </c>
      <c r="R90" s="65">
        <v>1868</v>
      </c>
      <c r="S90" s="57">
        <v>11515000</v>
      </c>
      <c r="T90" s="57">
        <v>4424677</v>
      </c>
      <c r="U90" s="65">
        <v>2358</v>
      </c>
      <c r="V90" s="57">
        <v>14545263</v>
      </c>
      <c r="W90" s="66">
        <v>1.0229999999999999</v>
      </c>
      <c r="X90" s="67">
        <v>0.30399999999999999</v>
      </c>
    </row>
    <row r="91" spans="14:24">
      <c r="N91" s="40" t="s">
        <v>165</v>
      </c>
      <c r="O91" s="40" t="s">
        <v>166</v>
      </c>
      <c r="P91" s="40">
        <v>16</v>
      </c>
      <c r="Q91" s="40">
        <v>103</v>
      </c>
      <c r="R91" s="65">
        <v>1641</v>
      </c>
      <c r="S91" s="57">
        <v>9918000</v>
      </c>
      <c r="T91" s="57">
        <v>5442169</v>
      </c>
      <c r="U91" s="65">
        <v>2156</v>
      </c>
      <c r="V91" s="57">
        <v>13017375</v>
      </c>
      <c r="W91" s="66">
        <v>0.93600000000000005</v>
      </c>
      <c r="X91" s="67">
        <v>0.41799999999999998</v>
      </c>
    </row>
    <row r="92" spans="14:24">
      <c r="N92" s="40" t="s">
        <v>71</v>
      </c>
      <c r="O92" s="40" t="s">
        <v>73</v>
      </c>
      <c r="P92" s="40">
        <v>19</v>
      </c>
      <c r="Q92" s="40">
        <v>67</v>
      </c>
      <c r="R92" s="65">
        <v>1272</v>
      </c>
      <c r="S92" s="57">
        <v>6915000</v>
      </c>
      <c r="T92" s="57">
        <v>4683882</v>
      </c>
      <c r="U92" s="65">
        <v>1607</v>
      </c>
      <c r="V92" s="57">
        <v>8734737</v>
      </c>
      <c r="W92" s="66">
        <v>0.69699999999999995</v>
      </c>
      <c r="X92" s="67">
        <v>0.53600000000000003</v>
      </c>
    </row>
    <row r="93" spans="14:24">
      <c r="N93" s="40" t="s">
        <v>71</v>
      </c>
      <c r="O93" s="40" t="s">
        <v>167</v>
      </c>
      <c r="P93" s="40">
        <v>17</v>
      </c>
      <c r="Q93" s="40">
        <v>61</v>
      </c>
      <c r="R93" s="65">
        <v>1032</v>
      </c>
      <c r="S93" s="57">
        <v>5595000</v>
      </c>
      <c r="T93" s="57">
        <v>4683882</v>
      </c>
      <c r="U93" s="65">
        <v>1337</v>
      </c>
      <c r="V93" s="57">
        <v>7240588</v>
      </c>
      <c r="W93" s="66">
        <v>0.57999999999999996</v>
      </c>
      <c r="X93" s="67">
        <v>0.64700000000000002</v>
      </c>
    </row>
    <row r="98" spans="14:17">
      <c r="N98" s="62" t="s">
        <v>180</v>
      </c>
      <c r="O98" s="62" t="s">
        <v>181</v>
      </c>
      <c r="P98" s="62" t="s">
        <v>182</v>
      </c>
      <c r="Q98" s="62" t="s">
        <v>183</v>
      </c>
    </row>
    <row r="99" spans="14:17">
      <c r="N99" s="32" t="s">
        <v>13</v>
      </c>
      <c r="O99" s="32">
        <v>215</v>
      </c>
      <c r="P99" s="32">
        <v>204</v>
      </c>
      <c r="Q99" s="62">
        <v>259</v>
      </c>
    </row>
    <row r="100" spans="14:17">
      <c r="N100" s="32" t="s">
        <v>184</v>
      </c>
      <c r="O100" s="63">
        <v>14120</v>
      </c>
      <c r="P100" s="63">
        <v>16576</v>
      </c>
      <c r="Q100" s="64">
        <v>21021</v>
      </c>
    </row>
    <row r="101" spans="14:17">
      <c r="N101" s="32" t="s">
        <v>185</v>
      </c>
      <c r="O101" s="32">
        <v>65.7</v>
      </c>
      <c r="P101" s="32">
        <v>81.3</v>
      </c>
      <c r="Q101" s="62">
        <v>81.2</v>
      </c>
    </row>
    <row r="102" spans="14:17">
      <c r="N102" s="32" t="s">
        <v>186</v>
      </c>
      <c r="O102" s="68">
        <v>82012500</v>
      </c>
      <c r="P102" s="68">
        <v>93572900</v>
      </c>
      <c r="Q102" s="69">
        <v>118833346</v>
      </c>
    </row>
    <row r="103" spans="14:17">
      <c r="N103" s="32" t="s">
        <v>187</v>
      </c>
      <c r="O103" s="68">
        <v>50996251</v>
      </c>
      <c r="P103" s="32" t="s">
        <v>188</v>
      </c>
      <c r="Q103" s="69">
        <v>50996251</v>
      </c>
    </row>
    <row r="104" spans="14:17">
      <c r="N104" s="32" t="s">
        <v>189</v>
      </c>
      <c r="O104" s="70">
        <v>0.622</v>
      </c>
      <c r="P104" s="62" t="s">
        <v>190</v>
      </c>
      <c r="Q104" s="62" t="s">
        <v>191</v>
      </c>
    </row>
    <row r="115" spans="9:21">
      <c r="I115" s="59" t="s">
        <v>130</v>
      </c>
      <c r="J115" s="59" t="s">
        <v>192</v>
      </c>
      <c r="K115" s="59" t="s">
        <v>193</v>
      </c>
      <c r="L115" s="59" t="s">
        <v>194</v>
      </c>
      <c r="M115" s="59" t="s">
        <v>195</v>
      </c>
      <c r="N115" s="59" t="s">
        <v>196</v>
      </c>
      <c r="O115" s="59" t="s">
        <v>197</v>
      </c>
      <c r="P115" s="59" t="s">
        <v>198</v>
      </c>
      <c r="Q115" s="59" t="s">
        <v>199</v>
      </c>
      <c r="R115" s="59" t="s">
        <v>200</v>
      </c>
      <c r="S115" s="59" t="s">
        <v>201</v>
      </c>
      <c r="T115" s="59" t="s">
        <v>202</v>
      </c>
      <c r="U115" s="59" t="s">
        <v>203</v>
      </c>
    </row>
    <row r="116" spans="9:21">
      <c r="I116" s="59" t="s">
        <v>26</v>
      </c>
      <c r="J116" s="1">
        <v>87</v>
      </c>
      <c r="K116" s="9">
        <v>6185</v>
      </c>
      <c r="L116" s="1">
        <v>71.099999999999994</v>
      </c>
      <c r="M116" s="71">
        <v>30581000</v>
      </c>
      <c r="N116" s="71">
        <v>18223576</v>
      </c>
      <c r="O116" s="72">
        <v>0.59599999999999997</v>
      </c>
      <c r="P116" s="1">
        <v>96</v>
      </c>
      <c r="Q116" s="9">
        <v>8329</v>
      </c>
      <c r="R116" s="1">
        <v>86.8</v>
      </c>
      <c r="S116" s="71">
        <v>44775088</v>
      </c>
      <c r="T116" s="71">
        <v>18223576</v>
      </c>
      <c r="U116" s="72">
        <v>0.40699999999999997</v>
      </c>
    </row>
    <row r="117" spans="9:21">
      <c r="I117" s="59" t="s">
        <v>51</v>
      </c>
      <c r="J117" s="1">
        <v>47</v>
      </c>
      <c r="K117" s="9">
        <v>2359</v>
      </c>
      <c r="L117" s="1">
        <v>50.2</v>
      </c>
      <c r="M117" s="71">
        <v>15780000</v>
      </c>
      <c r="N117" s="71">
        <v>9113388</v>
      </c>
      <c r="O117" s="72">
        <v>0.57799999999999996</v>
      </c>
      <c r="P117" s="1">
        <v>48</v>
      </c>
      <c r="Q117" s="9">
        <v>2660</v>
      </c>
      <c r="R117" s="1">
        <v>55.4</v>
      </c>
      <c r="S117" s="71">
        <v>14879874</v>
      </c>
      <c r="T117" s="71">
        <v>9113388</v>
      </c>
      <c r="U117" s="72">
        <v>0.61299999999999999</v>
      </c>
    </row>
    <row r="118" spans="9:21">
      <c r="I118" s="59" t="s">
        <v>163</v>
      </c>
      <c r="J118" s="1">
        <v>35</v>
      </c>
      <c r="K118" s="9">
        <v>3058</v>
      </c>
      <c r="L118" s="1">
        <v>87.4</v>
      </c>
      <c r="M118" s="71">
        <v>17958000</v>
      </c>
      <c r="N118" s="71">
        <v>8849354</v>
      </c>
      <c r="O118" s="72">
        <v>0.49299999999999999</v>
      </c>
      <c r="P118" s="1">
        <v>48</v>
      </c>
      <c r="Q118" s="9">
        <v>4932</v>
      </c>
      <c r="R118" s="1">
        <v>102.8</v>
      </c>
      <c r="S118" s="71">
        <v>30185684</v>
      </c>
      <c r="T118" s="71">
        <v>8849354</v>
      </c>
      <c r="U118" s="72">
        <v>0.29299999999999998</v>
      </c>
    </row>
    <row r="119" spans="9:21">
      <c r="I119" s="59" t="s">
        <v>165</v>
      </c>
      <c r="J119" s="1">
        <v>22</v>
      </c>
      <c r="K119" s="9">
        <v>1734</v>
      </c>
      <c r="L119" s="1">
        <v>78.8</v>
      </c>
      <c r="M119" s="71">
        <v>11245000</v>
      </c>
      <c r="N119" s="71">
        <v>5442169</v>
      </c>
      <c r="O119" s="72">
        <v>0.48399999999999999</v>
      </c>
      <c r="P119" s="1">
        <v>21</v>
      </c>
      <c r="Q119" s="9">
        <v>2156</v>
      </c>
      <c r="R119" s="1">
        <v>102.7</v>
      </c>
      <c r="S119" s="71">
        <v>13017375</v>
      </c>
      <c r="T119" s="71">
        <v>5442169</v>
      </c>
      <c r="U119" s="72">
        <v>0.41799999999999998</v>
      </c>
    </row>
    <row r="120" spans="9:21">
      <c r="I120" s="59" t="s">
        <v>71</v>
      </c>
      <c r="J120" s="1">
        <v>24</v>
      </c>
      <c r="K120" s="1">
        <v>784</v>
      </c>
      <c r="L120" s="1">
        <v>32.700000000000003</v>
      </c>
      <c r="M120" s="71">
        <v>6448500</v>
      </c>
      <c r="N120" s="71">
        <v>9367764</v>
      </c>
      <c r="O120" s="72">
        <v>1.4530000000000001</v>
      </c>
      <c r="P120" s="1">
        <v>46</v>
      </c>
      <c r="Q120" s="9">
        <v>2944</v>
      </c>
      <c r="R120" s="1">
        <v>64</v>
      </c>
      <c r="S120" s="71">
        <v>15975325</v>
      </c>
      <c r="T120" s="71">
        <v>9367764</v>
      </c>
      <c r="U120" s="72">
        <v>0.58599999999999997</v>
      </c>
    </row>
  </sheetData>
  <mergeCells count="73">
    <mergeCell ref="A52:B52"/>
    <mergeCell ref="A53:B53"/>
    <mergeCell ref="E27:E29"/>
    <mergeCell ref="D27:D29"/>
    <mergeCell ref="C27:C29"/>
    <mergeCell ref="B27:B29"/>
    <mergeCell ref="A27:A29"/>
    <mergeCell ref="A42:A43"/>
    <mergeCell ref="A44:B44"/>
    <mergeCell ref="A45:A46"/>
    <mergeCell ref="A47:B47"/>
    <mergeCell ref="A49:B49"/>
    <mergeCell ref="A50:A51"/>
    <mergeCell ref="A41:B41"/>
    <mergeCell ref="A37:A40"/>
    <mergeCell ref="R35:R36"/>
    <mergeCell ref="S35:S36"/>
    <mergeCell ref="K26:K27"/>
    <mergeCell ref="R26:W26"/>
    <mergeCell ref="L26:Q26"/>
    <mergeCell ref="N35:N36"/>
    <mergeCell ref="O35:O36"/>
    <mergeCell ref="P35:P36"/>
    <mergeCell ref="Q35:Q36"/>
    <mergeCell ref="AN38:AQ38"/>
    <mergeCell ref="AS38:AV38"/>
    <mergeCell ref="A35:A36"/>
    <mergeCell ref="B35:B36"/>
    <mergeCell ref="C35:C36"/>
    <mergeCell ref="D35:D36"/>
    <mergeCell ref="E35:E36"/>
    <mergeCell ref="F35:I35"/>
    <mergeCell ref="J35:M35"/>
    <mergeCell ref="Y38:AB38"/>
    <mergeCell ref="AD38:AG38"/>
    <mergeCell ref="AI38:AL38"/>
    <mergeCell ref="T35:T36"/>
    <mergeCell ref="U35:U36"/>
    <mergeCell ref="V35:V36"/>
    <mergeCell ref="W35:W36"/>
    <mergeCell ref="A19:B19"/>
    <mergeCell ref="A10:B10"/>
    <mergeCell ref="A11:A12"/>
    <mergeCell ref="A13:B13"/>
    <mergeCell ref="A15:B15"/>
    <mergeCell ref="A16:A17"/>
    <mergeCell ref="A18:B18"/>
    <mergeCell ref="AN1:AQ1"/>
    <mergeCell ref="AS1:AV1"/>
    <mergeCell ref="AX1:BA1"/>
    <mergeCell ref="A3:A6"/>
    <mergeCell ref="A7:B7"/>
    <mergeCell ref="U1:U2"/>
    <mergeCell ref="V1:V2"/>
    <mergeCell ref="W1:W2"/>
    <mergeCell ref="AD1:AG1"/>
    <mergeCell ref="AI1:AL1"/>
    <mergeCell ref="S1:S2"/>
    <mergeCell ref="T1:T2"/>
    <mergeCell ref="Y1:AB1"/>
    <mergeCell ref="P1:P2"/>
    <mergeCell ref="Q1:Q2"/>
    <mergeCell ref="R1:R2"/>
    <mergeCell ref="A8:A9"/>
    <mergeCell ref="F1:I1"/>
    <mergeCell ref="J1:M1"/>
    <mergeCell ref="N1:N2"/>
    <mergeCell ref="O1:O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73"/>
  <sheetViews>
    <sheetView workbookViewId="0">
      <selection sqref="A1:A2"/>
    </sheetView>
  </sheetViews>
  <sheetFormatPr defaultRowHeight="15"/>
  <cols>
    <col min="4" max="4" width="11.7109375" customWidth="1"/>
    <col min="5" max="5" width="22" customWidth="1"/>
    <col min="6" max="6" width="13.85546875" customWidth="1"/>
    <col min="8" max="34" width="5.5703125" customWidth="1"/>
    <col min="35" max="38" width="5.7109375" customWidth="1"/>
  </cols>
  <sheetData>
    <row r="1" spans="1:40" ht="15" customHeight="1">
      <c r="A1" s="312" t="s">
        <v>204</v>
      </c>
      <c r="B1" s="312" t="s">
        <v>205</v>
      </c>
      <c r="C1" s="312" t="s">
        <v>206</v>
      </c>
      <c r="D1" s="312" t="s">
        <v>131</v>
      </c>
      <c r="E1" s="312" t="s">
        <v>207</v>
      </c>
      <c r="F1" s="312" t="s">
        <v>130</v>
      </c>
      <c r="G1" s="312" t="s">
        <v>208</v>
      </c>
      <c r="H1" s="312" t="s">
        <v>209</v>
      </c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 t="s">
        <v>210</v>
      </c>
      <c r="AM1" s="312"/>
      <c r="AN1" s="312"/>
    </row>
    <row r="2" spans="1:40">
      <c r="A2" s="312"/>
      <c r="B2" s="312"/>
      <c r="C2" s="312"/>
      <c r="D2" s="312"/>
      <c r="E2" s="312"/>
      <c r="F2" s="312"/>
      <c r="G2" s="312"/>
      <c r="H2" s="74">
        <v>1</v>
      </c>
      <c r="I2" s="10">
        <v>2</v>
      </c>
      <c r="J2" s="10">
        <v>3</v>
      </c>
      <c r="K2" s="10">
        <v>4</v>
      </c>
      <c r="L2" s="52">
        <v>5</v>
      </c>
      <c r="M2" s="10">
        <v>6</v>
      </c>
      <c r="N2" s="10">
        <v>7</v>
      </c>
      <c r="O2" s="10">
        <v>8</v>
      </c>
      <c r="P2" s="10">
        <v>9</v>
      </c>
      <c r="Q2" s="10">
        <v>10</v>
      </c>
      <c r="R2" s="10">
        <v>11</v>
      </c>
      <c r="S2" s="52">
        <v>12</v>
      </c>
      <c r="T2" s="10">
        <v>13</v>
      </c>
      <c r="U2" s="10">
        <v>14</v>
      </c>
      <c r="V2" s="10">
        <v>15</v>
      </c>
      <c r="W2" s="10">
        <v>16</v>
      </c>
      <c r="X2" s="10">
        <v>17</v>
      </c>
      <c r="Y2" s="10">
        <v>18</v>
      </c>
      <c r="Z2" s="52">
        <v>19</v>
      </c>
      <c r="AA2" s="10">
        <v>20</v>
      </c>
      <c r="AB2" s="10">
        <v>21</v>
      </c>
      <c r="AC2" s="10">
        <v>22</v>
      </c>
      <c r="AD2" s="10">
        <v>23</v>
      </c>
      <c r="AE2" s="10">
        <v>24</v>
      </c>
      <c r="AF2" s="10">
        <v>25</v>
      </c>
      <c r="AG2" s="52">
        <v>26</v>
      </c>
      <c r="AH2" s="10">
        <v>27</v>
      </c>
      <c r="AI2" s="10">
        <v>28</v>
      </c>
      <c r="AJ2" s="10">
        <v>29</v>
      </c>
      <c r="AK2" s="10">
        <v>30</v>
      </c>
      <c r="AL2" s="312"/>
      <c r="AM2" s="312"/>
      <c r="AN2" s="312"/>
    </row>
    <row r="3" spans="1:40">
      <c r="A3" s="303" t="s">
        <v>211</v>
      </c>
      <c r="B3" s="325">
        <v>2026</v>
      </c>
      <c r="C3" s="303" t="s">
        <v>212</v>
      </c>
      <c r="D3" s="303" t="s">
        <v>159</v>
      </c>
      <c r="E3" s="303" t="s">
        <v>213</v>
      </c>
      <c r="F3" s="303" t="s">
        <v>26</v>
      </c>
      <c r="G3" s="304" t="s">
        <v>214</v>
      </c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6"/>
      <c r="AM3" s="307"/>
      <c r="AN3" s="308"/>
    </row>
    <row r="4" spans="1:40">
      <c r="A4" s="303"/>
      <c r="B4" s="325"/>
      <c r="C4" s="303"/>
      <c r="D4" s="303"/>
      <c r="E4" s="303"/>
      <c r="F4" s="303"/>
      <c r="G4" s="305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9"/>
      <c r="AM4" s="310"/>
      <c r="AN4" s="311"/>
    </row>
    <row r="5" spans="1:40">
      <c r="A5" s="303"/>
      <c r="B5" s="325">
        <v>2026</v>
      </c>
      <c r="C5" s="303" t="s">
        <v>212</v>
      </c>
      <c r="D5" s="303" t="s">
        <v>32</v>
      </c>
      <c r="E5" s="303" t="s">
        <v>215</v>
      </c>
      <c r="F5" s="303" t="s">
        <v>26</v>
      </c>
      <c r="G5" s="304" t="s">
        <v>214</v>
      </c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  <c r="AL5" s="306"/>
      <c r="AM5" s="307"/>
      <c r="AN5" s="308"/>
    </row>
    <row r="6" spans="1:40">
      <c r="A6" s="303"/>
      <c r="B6" s="325"/>
      <c r="C6" s="303"/>
      <c r="D6" s="303"/>
      <c r="E6" s="303"/>
      <c r="F6" s="303"/>
      <c r="G6" s="305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9"/>
      <c r="AM6" s="310"/>
      <c r="AN6" s="311"/>
    </row>
    <row r="7" spans="1:40">
      <c r="A7" s="303"/>
      <c r="B7" s="325">
        <v>2026</v>
      </c>
      <c r="C7" s="303" t="s">
        <v>212</v>
      </c>
      <c r="D7" s="303" t="s">
        <v>216</v>
      </c>
      <c r="E7" s="303"/>
      <c r="F7" s="303" t="s">
        <v>26</v>
      </c>
      <c r="G7" s="304" t="s">
        <v>214</v>
      </c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  <c r="AI7" s="301"/>
      <c r="AJ7" s="301"/>
      <c r="AK7" s="301"/>
      <c r="AL7" s="306"/>
      <c r="AM7" s="307"/>
      <c r="AN7" s="308"/>
    </row>
    <row r="8" spans="1:40">
      <c r="A8" s="303"/>
      <c r="B8" s="325"/>
      <c r="C8" s="303"/>
      <c r="D8" s="303"/>
      <c r="E8" s="303"/>
      <c r="F8" s="303"/>
      <c r="G8" s="305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302"/>
      <c r="AJ8" s="302"/>
      <c r="AK8" s="302"/>
      <c r="AL8" s="309"/>
      <c r="AM8" s="310"/>
      <c r="AN8" s="311"/>
    </row>
    <row r="9" spans="1:40">
      <c r="A9" s="303"/>
      <c r="B9" s="325">
        <v>2026</v>
      </c>
      <c r="C9" s="303" t="s">
        <v>212</v>
      </c>
      <c r="D9" s="303"/>
      <c r="E9" s="303"/>
      <c r="F9" s="303" t="s">
        <v>26</v>
      </c>
      <c r="G9" s="304" t="s">
        <v>214</v>
      </c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1"/>
      <c r="AL9" s="306"/>
      <c r="AM9" s="307"/>
      <c r="AN9" s="308"/>
    </row>
    <row r="10" spans="1:40">
      <c r="A10" s="303"/>
      <c r="B10" s="325"/>
      <c r="C10" s="303"/>
      <c r="D10" s="303"/>
      <c r="E10" s="303"/>
      <c r="F10" s="303"/>
      <c r="G10" s="305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9"/>
      <c r="AM10" s="310"/>
      <c r="AN10" s="311"/>
    </row>
    <row r="11" spans="1:40">
      <c r="A11" s="303"/>
      <c r="B11" s="325">
        <v>2026</v>
      </c>
      <c r="C11" s="303" t="s">
        <v>212</v>
      </c>
      <c r="D11" s="303" t="s">
        <v>162</v>
      </c>
      <c r="E11" s="303" t="s">
        <v>217</v>
      </c>
      <c r="F11" s="303" t="s">
        <v>51</v>
      </c>
      <c r="G11" s="304" t="s">
        <v>214</v>
      </c>
      <c r="H11" s="301"/>
      <c r="I11" s="301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1"/>
      <c r="AL11" s="306"/>
      <c r="AM11" s="307"/>
      <c r="AN11" s="308"/>
    </row>
    <row r="12" spans="1:40">
      <c r="A12" s="303"/>
      <c r="B12" s="325"/>
      <c r="C12" s="303"/>
      <c r="D12" s="303"/>
      <c r="E12" s="303"/>
      <c r="F12" s="303"/>
      <c r="G12" s="305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  <c r="AF12" s="302"/>
      <c r="AG12" s="302"/>
      <c r="AH12" s="302"/>
      <c r="AI12" s="302"/>
      <c r="AJ12" s="302"/>
      <c r="AK12" s="302"/>
      <c r="AL12" s="309"/>
      <c r="AM12" s="310"/>
      <c r="AN12" s="311"/>
    </row>
    <row r="13" spans="1:40">
      <c r="A13" s="303"/>
      <c r="B13" s="325">
        <v>2026</v>
      </c>
      <c r="C13" s="303" t="s">
        <v>212</v>
      </c>
      <c r="D13" s="303" t="s">
        <v>218</v>
      </c>
      <c r="E13" s="303" t="s">
        <v>52</v>
      </c>
      <c r="F13" s="303" t="s">
        <v>51</v>
      </c>
      <c r="G13" s="304" t="s">
        <v>214</v>
      </c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6"/>
      <c r="AM13" s="307"/>
      <c r="AN13" s="308"/>
    </row>
    <row r="14" spans="1:40">
      <c r="A14" s="303"/>
      <c r="B14" s="325"/>
      <c r="C14" s="303"/>
      <c r="D14" s="303"/>
      <c r="E14" s="303"/>
      <c r="F14" s="303"/>
      <c r="G14" s="305"/>
      <c r="H14" s="302"/>
      <c r="I14" s="302"/>
      <c r="J14" s="302"/>
      <c r="K14" s="302"/>
      <c r="L14" s="302"/>
      <c r="M14" s="302"/>
      <c r="N14" s="302"/>
      <c r="O14" s="302"/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302"/>
      <c r="AF14" s="302"/>
      <c r="AG14" s="302"/>
      <c r="AH14" s="302"/>
      <c r="AI14" s="302"/>
      <c r="AJ14" s="302"/>
      <c r="AK14" s="302"/>
      <c r="AL14" s="309"/>
      <c r="AM14" s="310"/>
      <c r="AN14" s="311"/>
    </row>
    <row r="15" spans="1:40">
      <c r="A15" s="303"/>
      <c r="B15" s="325">
        <v>2026</v>
      </c>
      <c r="C15" s="303" t="s">
        <v>212</v>
      </c>
      <c r="D15" s="303" t="s">
        <v>59</v>
      </c>
      <c r="E15" s="303" t="s">
        <v>219</v>
      </c>
      <c r="F15" s="303" t="s">
        <v>57</v>
      </c>
      <c r="G15" s="304" t="s">
        <v>214</v>
      </c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6"/>
      <c r="AM15" s="307"/>
      <c r="AN15" s="308"/>
    </row>
    <row r="16" spans="1:40">
      <c r="A16" s="303"/>
      <c r="B16" s="325"/>
      <c r="C16" s="303"/>
      <c r="D16" s="303"/>
      <c r="E16" s="303"/>
      <c r="F16" s="303"/>
      <c r="G16" s="305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9"/>
      <c r="AM16" s="310"/>
      <c r="AN16" s="311"/>
    </row>
    <row r="17" spans="1:40" ht="15.75" customHeight="1">
      <c r="A17" s="303"/>
      <c r="B17" s="325">
        <v>2026</v>
      </c>
      <c r="C17" s="303" t="s">
        <v>212</v>
      </c>
      <c r="D17" s="303"/>
      <c r="E17" s="303"/>
      <c r="F17" s="303" t="s">
        <v>57</v>
      </c>
      <c r="G17" s="304" t="s">
        <v>214</v>
      </c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  <c r="AL17" s="306"/>
      <c r="AM17" s="307"/>
      <c r="AN17" s="308"/>
    </row>
    <row r="18" spans="1:40">
      <c r="A18" s="303"/>
      <c r="B18" s="325"/>
      <c r="C18" s="303"/>
      <c r="D18" s="303"/>
      <c r="E18" s="303"/>
      <c r="F18" s="303"/>
      <c r="G18" s="305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  <c r="AC18" s="302"/>
      <c r="AD18" s="302"/>
      <c r="AE18" s="302"/>
      <c r="AF18" s="302"/>
      <c r="AG18" s="302"/>
      <c r="AH18" s="302"/>
      <c r="AI18" s="302"/>
      <c r="AJ18" s="302"/>
      <c r="AK18" s="302"/>
      <c r="AL18" s="309"/>
      <c r="AM18" s="310"/>
      <c r="AN18" s="311"/>
    </row>
    <row r="19" spans="1:40">
      <c r="A19" s="303"/>
      <c r="B19" s="325">
        <v>2026</v>
      </c>
      <c r="C19" s="303" t="s">
        <v>212</v>
      </c>
      <c r="D19" s="303" t="s">
        <v>167</v>
      </c>
      <c r="E19" s="303"/>
      <c r="F19" s="303" t="s">
        <v>220</v>
      </c>
      <c r="G19" s="304" t="s">
        <v>214</v>
      </c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6"/>
      <c r="AM19" s="307"/>
      <c r="AN19" s="308"/>
    </row>
    <row r="20" spans="1:40">
      <c r="A20" s="303"/>
      <c r="B20" s="325"/>
      <c r="C20" s="303"/>
      <c r="D20" s="303"/>
      <c r="E20" s="303"/>
      <c r="F20" s="303"/>
      <c r="G20" s="305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302"/>
      <c r="AJ20" s="302"/>
      <c r="AK20" s="302"/>
      <c r="AL20" s="309"/>
      <c r="AM20" s="310"/>
      <c r="AN20" s="311"/>
    </row>
    <row r="21" spans="1:40">
      <c r="A21" s="303"/>
      <c r="B21" s="325">
        <v>2026</v>
      </c>
      <c r="C21" s="303" t="s">
        <v>212</v>
      </c>
      <c r="D21" s="303" t="s">
        <v>73</v>
      </c>
      <c r="E21" s="303"/>
      <c r="F21" s="303" t="s">
        <v>220</v>
      </c>
      <c r="G21" s="304" t="s">
        <v>214</v>
      </c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1"/>
      <c r="AL21" s="306"/>
      <c r="AM21" s="307"/>
      <c r="AN21" s="308"/>
    </row>
    <row r="22" spans="1:40">
      <c r="A22" s="303"/>
      <c r="B22" s="325"/>
      <c r="C22" s="303"/>
      <c r="D22" s="303"/>
      <c r="E22" s="303"/>
      <c r="F22" s="303"/>
      <c r="G22" s="305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302"/>
      <c r="AI22" s="302"/>
      <c r="AJ22" s="302"/>
      <c r="AK22" s="302"/>
      <c r="AL22" s="309"/>
      <c r="AM22" s="310"/>
      <c r="AN22" s="311"/>
    </row>
    <row r="23" spans="1:40">
      <c r="A23" s="303"/>
      <c r="B23" s="325">
        <v>2026</v>
      </c>
      <c r="C23" s="303" t="s">
        <v>212</v>
      </c>
      <c r="D23" s="303" t="s">
        <v>221</v>
      </c>
      <c r="E23" s="303" t="s">
        <v>222</v>
      </c>
      <c r="F23" s="303" t="s">
        <v>223</v>
      </c>
      <c r="G23" s="304" t="s">
        <v>214</v>
      </c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01"/>
      <c r="AL23" s="306"/>
      <c r="AM23" s="307"/>
      <c r="AN23" s="308"/>
    </row>
    <row r="24" spans="1:40">
      <c r="A24" s="303"/>
      <c r="B24" s="325"/>
      <c r="C24" s="303"/>
      <c r="D24" s="303"/>
      <c r="E24" s="303"/>
      <c r="F24" s="303"/>
      <c r="G24" s="305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9"/>
      <c r="AM24" s="310"/>
      <c r="AN24" s="311"/>
    </row>
    <row r="25" spans="1:40">
      <c r="A25" s="303"/>
      <c r="B25" s="325">
        <v>2026</v>
      </c>
      <c r="C25" s="303" t="s">
        <v>212</v>
      </c>
      <c r="D25" s="303" t="s">
        <v>224</v>
      </c>
      <c r="E25" s="303" t="s">
        <v>222</v>
      </c>
      <c r="F25" s="303" t="s">
        <v>223</v>
      </c>
      <c r="G25" s="304" t="s">
        <v>214</v>
      </c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01"/>
      <c r="AL25" s="306"/>
      <c r="AM25" s="307"/>
      <c r="AN25" s="308"/>
    </row>
    <row r="26" spans="1:40">
      <c r="A26" s="303"/>
      <c r="B26" s="325"/>
      <c r="C26" s="303"/>
      <c r="D26" s="303"/>
      <c r="E26" s="303"/>
      <c r="F26" s="303"/>
      <c r="G26" s="305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9"/>
      <c r="AM26" s="310"/>
      <c r="AN26" s="311"/>
    </row>
    <row r="27" spans="1:40">
      <c r="A27" s="303"/>
      <c r="B27" s="325">
        <v>2026</v>
      </c>
      <c r="C27" s="303" t="s">
        <v>212</v>
      </c>
      <c r="D27" s="303"/>
      <c r="E27" s="303"/>
      <c r="F27" s="303" t="s">
        <v>112</v>
      </c>
      <c r="G27" s="304" t="s">
        <v>214</v>
      </c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01"/>
      <c r="AL27" s="306"/>
      <c r="AM27" s="307"/>
      <c r="AN27" s="308"/>
    </row>
    <row r="28" spans="1:40">
      <c r="A28" s="303"/>
      <c r="B28" s="325"/>
      <c r="C28" s="303"/>
      <c r="D28" s="303"/>
      <c r="E28" s="303"/>
      <c r="F28" s="303"/>
      <c r="G28" s="305"/>
      <c r="H28" s="302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02"/>
      <c r="AK28" s="302"/>
      <c r="AL28" s="309"/>
      <c r="AM28" s="310"/>
      <c r="AN28" s="311"/>
    </row>
    <row r="29" spans="1:40">
      <c r="A29" s="303"/>
      <c r="B29" s="325">
        <v>2026</v>
      </c>
      <c r="C29" s="303" t="s">
        <v>212</v>
      </c>
      <c r="D29" s="303"/>
      <c r="E29" s="303"/>
      <c r="F29" s="303" t="s">
        <v>112</v>
      </c>
      <c r="G29" s="304" t="s">
        <v>214</v>
      </c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01"/>
      <c r="AL29" s="306"/>
      <c r="AM29" s="307"/>
      <c r="AN29" s="308"/>
    </row>
    <row r="30" spans="1:40">
      <c r="A30" s="303"/>
      <c r="B30" s="325"/>
      <c r="C30" s="303"/>
      <c r="D30" s="303"/>
      <c r="E30" s="303"/>
      <c r="F30" s="303"/>
      <c r="G30" s="305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9"/>
      <c r="AM30" s="310"/>
      <c r="AN30" s="311"/>
    </row>
    <row r="31" spans="1:40">
      <c r="A31" s="303"/>
      <c r="B31" s="325">
        <v>2026</v>
      </c>
      <c r="C31" s="303" t="s">
        <v>212</v>
      </c>
      <c r="D31" s="303"/>
      <c r="E31" s="303"/>
      <c r="F31" s="303" t="s">
        <v>112</v>
      </c>
      <c r="G31" s="304" t="s">
        <v>214</v>
      </c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  <c r="AJ31" s="301"/>
      <c r="AK31" s="301"/>
      <c r="AL31" s="306"/>
      <c r="AM31" s="307"/>
      <c r="AN31" s="308"/>
    </row>
    <row r="32" spans="1:40">
      <c r="A32" s="303"/>
      <c r="B32" s="325"/>
      <c r="C32" s="303"/>
      <c r="D32" s="303"/>
      <c r="E32" s="303"/>
      <c r="F32" s="303"/>
      <c r="G32" s="305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9"/>
      <c r="AM32" s="310"/>
      <c r="AN32" s="311"/>
    </row>
    <row r="33" spans="1:40">
      <c r="A33" s="303"/>
      <c r="B33" s="325">
        <v>2026</v>
      </c>
      <c r="C33" s="303" t="s">
        <v>212</v>
      </c>
      <c r="D33" s="303"/>
      <c r="E33" s="303"/>
      <c r="F33" s="303" t="s">
        <v>112</v>
      </c>
      <c r="G33" s="304" t="s">
        <v>214</v>
      </c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301"/>
      <c r="AI33" s="301"/>
      <c r="AJ33" s="301"/>
      <c r="AK33" s="301"/>
      <c r="AL33" s="306"/>
      <c r="AM33" s="307"/>
      <c r="AN33" s="308"/>
    </row>
    <row r="34" spans="1:40">
      <c r="A34" s="303"/>
      <c r="B34" s="325"/>
      <c r="C34" s="303"/>
      <c r="D34" s="303"/>
      <c r="E34" s="303"/>
      <c r="F34" s="303"/>
      <c r="G34" s="305"/>
      <c r="H34" s="302"/>
      <c r="I34" s="302"/>
      <c r="J34" s="302"/>
      <c r="K34" s="302"/>
      <c r="L34" s="302"/>
      <c r="M34" s="302"/>
      <c r="N34" s="302"/>
      <c r="O34" s="302"/>
      <c r="P34" s="302"/>
      <c r="Q34" s="302"/>
      <c r="R34" s="302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9"/>
      <c r="AM34" s="310"/>
      <c r="AN34" s="311"/>
    </row>
    <row r="42" spans="1:40">
      <c r="B42" s="75"/>
      <c r="C42" s="75"/>
      <c r="D42" s="75"/>
      <c r="E42" s="75"/>
      <c r="F42" s="75"/>
    </row>
    <row r="43" spans="1:40">
      <c r="B43" s="75"/>
      <c r="C43" s="75"/>
      <c r="D43" s="75"/>
      <c r="E43" s="75"/>
      <c r="F43" s="75"/>
    </row>
    <row r="50" spans="4:44">
      <c r="D50" s="312" t="s">
        <v>204</v>
      </c>
      <c r="E50" s="312" t="s">
        <v>205</v>
      </c>
      <c r="F50" s="312" t="s">
        <v>206</v>
      </c>
      <c r="G50" s="312" t="s">
        <v>131</v>
      </c>
      <c r="H50" s="312" t="s">
        <v>207</v>
      </c>
      <c r="I50" s="312" t="s">
        <v>130</v>
      </c>
      <c r="J50" s="312" t="s">
        <v>208</v>
      </c>
      <c r="K50" s="322" t="s">
        <v>225</v>
      </c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3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323"/>
      <c r="AK50" s="323"/>
      <c r="AL50" s="323"/>
      <c r="AM50" s="323"/>
      <c r="AN50" s="323"/>
      <c r="AO50" s="324"/>
      <c r="AP50" s="312" t="s">
        <v>210</v>
      </c>
      <c r="AQ50" s="312"/>
      <c r="AR50" s="312"/>
    </row>
    <row r="51" spans="4:44">
      <c r="D51" s="312"/>
      <c r="E51" s="312"/>
      <c r="F51" s="312"/>
      <c r="G51" s="312"/>
      <c r="H51" s="312"/>
      <c r="I51" s="312"/>
      <c r="J51" s="312"/>
      <c r="K51" s="16">
        <v>1</v>
      </c>
      <c r="L51" s="10">
        <v>2</v>
      </c>
      <c r="M51" s="10">
        <v>3</v>
      </c>
      <c r="N51" s="10">
        <v>4</v>
      </c>
      <c r="O51" s="10">
        <v>5</v>
      </c>
      <c r="P51" s="10">
        <v>6</v>
      </c>
      <c r="Q51" s="10">
        <v>7</v>
      </c>
      <c r="R51" s="52">
        <v>8</v>
      </c>
      <c r="S51" s="10">
        <v>9</v>
      </c>
      <c r="T51" s="10">
        <v>10</v>
      </c>
      <c r="U51" s="10">
        <v>11</v>
      </c>
      <c r="V51" s="10">
        <v>12</v>
      </c>
      <c r="W51" s="10">
        <v>13</v>
      </c>
      <c r="X51" s="10">
        <v>14</v>
      </c>
      <c r="Y51" s="52">
        <v>15</v>
      </c>
      <c r="Z51" s="10">
        <v>16</v>
      </c>
      <c r="AA51" s="10">
        <v>17</v>
      </c>
      <c r="AB51" s="10">
        <v>18</v>
      </c>
      <c r="AC51" s="10">
        <v>19</v>
      </c>
      <c r="AD51" s="10">
        <v>20</v>
      </c>
      <c r="AE51" s="10">
        <v>21</v>
      </c>
      <c r="AF51" s="52">
        <v>22</v>
      </c>
      <c r="AG51" s="10">
        <v>23</v>
      </c>
      <c r="AH51" s="10">
        <v>24</v>
      </c>
      <c r="AI51" s="10">
        <v>25</v>
      </c>
      <c r="AJ51" s="10">
        <v>26</v>
      </c>
      <c r="AK51" s="10">
        <v>27</v>
      </c>
      <c r="AL51" s="10">
        <v>28</v>
      </c>
      <c r="AM51" s="52">
        <v>29</v>
      </c>
      <c r="AN51" s="10">
        <v>30</v>
      </c>
      <c r="AO51" s="10">
        <v>31</v>
      </c>
      <c r="AP51" s="312"/>
      <c r="AQ51" s="312"/>
      <c r="AR51" s="312"/>
    </row>
    <row r="52" spans="4:44">
      <c r="D52" s="303" t="s">
        <v>211</v>
      </c>
      <c r="E52" s="303">
        <v>2026</v>
      </c>
      <c r="F52" s="303" t="s">
        <v>226</v>
      </c>
      <c r="G52" s="319" t="s">
        <v>159</v>
      </c>
      <c r="H52" s="319" t="s">
        <v>213</v>
      </c>
      <c r="I52" s="319" t="s">
        <v>26</v>
      </c>
      <c r="J52" s="17" t="s">
        <v>214</v>
      </c>
      <c r="K52" s="17"/>
      <c r="L52" s="17">
        <v>30</v>
      </c>
      <c r="M52" s="17">
        <v>30</v>
      </c>
      <c r="N52" s="17">
        <v>30</v>
      </c>
      <c r="O52" s="17">
        <v>30</v>
      </c>
      <c r="P52" s="17">
        <v>30</v>
      </c>
      <c r="Q52" s="17">
        <v>12</v>
      </c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53"/>
      <c r="AN52" s="53"/>
      <c r="AO52" s="53"/>
      <c r="AP52" s="315"/>
      <c r="AQ52" s="316"/>
      <c r="AR52" s="317"/>
    </row>
    <row r="53" spans="4:44">
      <c r="D53" s="314"/>
      <c r="E53" s="314"/>
      <c r="F53" s="314"/>
      <c r="G53" s="320"/>
      <c r="H53" s="320"/>
      <c r="I53" s="320"/>
      <c r="J53" s="18" t="s">
        <v>227</v>
      </c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51"/>
      <c r="AN53" s="51"/>
      <c r="AO53" s="51"/>
      <c r="AP53" s="315"/>
      <c r="AQ53" s="316"/>
      <c r="AR53" s="317"/>
    </row>
    <row r="54" spans="4:44">
      <c r="D54" s="303" t="s">
        <v>211</v>
      </c>
      <c r="E54" s="303">
        <v>2026</v>
      </c>
      <c r="F54" s="303" t="s">
        <v>226</v>
      </c>
      <c r="G54" s="321" t="s">
        <v>35</v>
      </c>
      <c r="H54" s="303" t="s">
        <v>228</v>
      </c>
      <c r="I54" s="319" t="s">
        <v>26</v>
      </c>
      <c r="J54" s="17" t="s">
        <v>214</v>
      </c>
      <c r="K54" s="17"/>
      <c r="L54" s="17">
        <v>30</v>
      </c>
      <c r="M54" s="17">
        <v>30</v>
      </c>
      <c r="N54" s="17">
        <v>30</v>
      </c>
      <c r="O54" s="17">
        <v>30</v>
      </c>
      <c r="P54" s="17">
        <v>30</v>
      </c>
      <c r="Q54" s="17">
        <v>12</v>
      </c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53"/>
      <c r="AN54" s="53"/>
      <c r="AO54" s="53"/>
      <c r="AP54" s="315"/>
      <c r="AQ54" s="316"/>
      <c r="AR54" s="317"/>
    </row>
    <row r="55" spans="4:44">
      <c r="D55" s="314"/>
      <c r="E55" s="314"/>
      <c r="F55" s="314"/>
      <c r="G55" s="320"/>
      <c r="H55" s="314"/>
      <c r="I55" s="320"/>
      <c r="J55" s="18" t="s">
        <v>227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51"/>
      <c r="AN55" s="51"/>
      <c r="AO55" s="51"/>
      <c r="AP55" s="315"/>
      <c r="AQ55" s="316"/>
      <c r="AR55" s="317"/>
    </row>
    <row r="56" spans="4:44">
      <c r="D56" s="303" t="s">
        <v>211</v>
      </c>
      <c r="E56" s="313">
        <v>2026</v>
      </c>
      <c r="F56" s="303" t="s">
        <v>226</v>
      </c>
      <c r="G56" s="321" t="s">
        <v>32</v>
      </c>
      <c r="H56" s="313" t="s">
        <v>215</v>
      </c>
      <c r="I56" s="319" t="s">
        <v>26</v>
      </c>
      <c r="J56" s="19" t="s">
        <v>214</v>
      </c>
      <c r="K56" s="17"/>
      <c r="L56" s="17">
        <v>30</v>
      </c>
      <c r="M56" s="17">
        <v>30</v>
      </c>
      <c r="N56" s="17">
        <v>30</v>
      </c>
      <c r="O56" s="17">
        <v>30</v>
      </c>
      <c r="P56" s="17">
        <v>30</v>
      </c>
      <c r="Q56" s="17">
        <v>12</v>
      </c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53"/>
      <c r="AN56" s="53"/>
      <c r="AO56" s="53"/>
      <c r="AP56" s="315"/>
      <c r="AQ56" s="316"/>
      <c r="AR56" s="317"/>
    </row>
    <row r="57" spans="4:44">
      <c r="D57" s="314"/>
      <c r="E57" s="314"/>
      <c r="F57" s="314"/>
      <c r="G57" s="320"/>
      <c r="H57" s="314"/>
      <c r="I57" s="320"/>
      <c r="J57" s="18" t="s">
        <v>227</v>
      </c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51"/>
      <c r="AN57" s="51"/>
      <c r="AO57" s="51"/>
      <c r="AP57" s="315"/>
      <c r="AQ57" s="316"/>
      <c r="AR57" s="317"/>
    </row>
    <row r="58" spans="4:44">
      <c r="D58" s="303" t="s">
        <v>211</v>
      </c>
      <c r="E58" s="313">
        <v>2026</v>
      </c>
      <c r="F58" s="303" t="s">
        <v>226</v>
      </c>
      <c r="G58" s="321" t="s">
        <v>160</v>
      </c>
      <c r="H58" s="313" t="s">
        <v>229</v>
      </c>
      <c r="I58" s="319" t="s">
        <v>26</v>
      </c>
      <c r="J58" s="19" t="s">
        <v>214</v>
      </c>
      <c r="K58" s="17"/>
      <c r="L58" s="17">
        <v>30</v>
      </c>
      <c r="M58" s="17">
        <v>30</v>
      </c>
      <c r="N58" s="17">
        <v>30</v>
      </c>
      <c r="O58" s="17">
        <v>30</v>
      </c>
      <c r="P58" s="17">
        <v>30</v>
      </c>
      <c r="Q58" s="17">
        <v>18</v>
      </c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53"/>
      <c r="AN58" s="53"/>
      <c r="AO58" s="53"/>
      <c r="AP58" s="315"/>
      <c r="AQ58" s="316"/>
      <c r="AR58" s="317"/>
    </row>
    <row r="59" spans="4:44">
      <c r="D59" s="314"/>
      <c r="E59" s="314"/>
      <c r="F59" s="314"/>
      <c r="G59" s="320"/>
      <c r="H59" s="314"/>
      <c r="I59" s="320"/>
      <c r="J59" s="18" t="s">
        <v>227</v>
      </c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51"/>
      <c r="AN59" s="51"/>
      <c r="AO59" s="51"/>
      <c r="AP59" s="315"/>
      <c r="AQ59" s="316"/>
      <c r="AR59" s="317"/>
    </row>
    <row r="60" spans="4:44">
      <c r="D60" s="303" t="s">
        <v>211</v>
      </c>
      <c r="E60" s="313">
        <v>2026</v>
      </c>
      <c r="F60" s="303" t="s">
        <v>226</v>
      </c>
      <c r="G60" s="313" t="s">
        <v>162</v>
      </c>
      <c r="H60" s="313" t="s">
        <v>217</v>
      </c>
      <c r="I60" s="313" t="s">
        <v>51</v>
      </c>
      <c r="J60" s="19" t="s">
        <v>214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53"/>
      <c r="AN60" s="53"/>
      <c r="AO60" s="53"/>
      <c r="AP60" s="315"/>
      <c r="AQ60" s="316"/>
      <c r="AR60" s="317"/>
    </row>
    <row r="61" spans="4:44">
      <c r="D61" s="314"/>
      <c r="E61" s="314"/>
      <c r="F61" s="314"/>
      <c r="G61" s="314"/>
      <c r="H61" s="314"/>
      <c r="I61" s="314"/>
      <c r="J61" s="18" t="s">
        <v>227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51"/>
      <c r="AN61" s="51"/>
      <c r="AO61" s="51"/>
      <c r="AP61" s="315"/>
      <c r="AQ61" s="316"/>
      <c r="AR61" s="317"/>
    </row>
    <row r="62" spans="4:44">
      <c r="D62" s="303" t="s">
        <v>211</v>
      </c>
      <c r="E62" s="313">
        <v>2026</v>
      </c>
      <c r="F62" s="303" t="s">
        <v>226</v>
      </c>
      <c r="G62" s="313" t="s">
        <v>218</v>
      </c>
      <c r="H62" s="313" t="s">
        <v>52</v>
      </c>
      <c r="I62" s="313" t="s">
        <v>51</v>
      </c>
      <c r="J62" s="19" t="s">
        <v>214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53"/>
      <c r="AN62" s="53"/>
      <c r="AO62" s="53"/>
      <c r="AP62" s="315"/>
      <c r="AQ62" s="316"/>
      <c r="AR62" s="317"/>
    </row>
    <row r="63" spans="4:44">
      <c r="D63" s="314"/>
      <c r="E63" s="314"/>
      <c r="F63" s="314"/>
      <c r="G63" s="314"/>
      <c r="H63" s="314"/>
      <c r="I63" s="314"/>
      <c r="J63" s="18" t="s">
        <v>227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51"/>
      <c r="AN63" s="51"/>
      <c r="AO63" s="51"/>
      <c r="AP63" s="315"/>
      <c r="AQ63" s="316"/>
      <c r="AR63" s="317"/>
    </row>
    <row r="64" spans="4:44">
      <c r="D64" s="303" t="s">
        <v>211</v>
      </c>
      <c r="E64" s="313">
        <v>2026</v>
      </c>
      <c r="F64" s="303" t="s">
        <v>226</v>
      </c>
      <c r="G64" s="313" t="s">
        <v>59</v>
      </c>
      <c r="H64" s="313" t="s">
        <v>219</v>
      </c>
      <c r="I64" s="313" t="s">
        <v>57</v>
      </c>
      <c r="J64" s="19" t="s">
        <v>214</v>
      </c>
      <c r="K64" s="17">
        <v>6</v>
      </c>
      <c r="L64" s="17">
        <v>6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53"/>
      <c r="AN64" s="53"/>
      <c r="AO64" s="53"/>
      <c r="AP64" s="315"/>
      <c r="AQ64" s="316"/>
      <c r="AR64" s="317"/>
    </row>
    <row r="65" spans="4:44">
      <c r="D65" s="314"/>
      <c r="E65" s="314"/>
      <c r="F65" s="314"/>
      <c r="G65" s="314"/>
      <c r="H65" s="314"/>
      <c r="I65" s="314"/>
      <c r="J65" s="18" t="s">
        <v>227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51"/>
      <c r="AN65" s="51"/>
      <c r="AO65" s="51"/>
      <c r="AP65" s="315"/>
      <c r="AQ65" s="316"/>
      <c r="AR65" s="317"/>
    </row>
    <row r="66" spans="4:44">
      <c r="D66" s="303" t="s">
        <v>211</v>
      </c>
      <c r="E66" s="313">
        <v>2026</v>
      </c>
      <c r="F66" s="303" t="s">
        <v>226</v>
      </c>
      <c r="G66" s="313" t="s">
        <v>164</v>
      </c>
      <c r="H66" s="313" t="s">
        <v>219</v>
      </c>
      <c r="I66" s="313" t="s">
        <v>57</v>
      </c>
      <c r="J66" s="19" t="s">
        <v>214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53"/>
      <c r="AN66" s="53"/>
      <c r="AO66" s="53"/>
      <c r="AP66" s="315"/>
      <c r="AQ66" s="316"/>
      <c r="AR66" s="317"/>
    </row>
    <row r="67" spans="4:44">
      <c r="D67" s="314"/>
      <c r="E67" s="314"/>
      <c r="F67" s="314"/>
      <c r="G67" s="314"/>
      <c r="H67" s="314"/>
      <c r="I67" s="314"/>
      <c r="J67" s="18" t="s">
        <v>227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51"/>
      <c r="AN67" s="51"/>
      <c r="AO67" s="51"/>
      <c r="AP67" s="315"/>
      <c r="AQ67" s="316"/>
      <c r="AR67" s="317"/>
    </row>
    <row r="68" spans="4:44">
      <c r="D68" s="318" t="s">
        <v>211</v>
      </c>
      <c r="E68" s="318">
        <v>2026</v>
      </c>
      <c r="F68" s="303" t="s">
        <v>226</v>
      </c>
      <c r="G68" s="318" t="s">
        <v>166</v>
      </c>
      <c r="H68" s="318" t="s">
        <v>222</v>
      </c>
      <c r="I68" s="318" t="s">
        <v>230</v>
      </c>
      <c r="J68" s="20" t="s">
        <v>214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53"/>
      <c r="AN68" s="53"/>
      <c r="AO68" s="53"/>
      <c r="AP68" s="315"/>
      <c r="AQ68" s="316"/>
      <c r="AR68" s="317"/>
    </row>
    <row r="69" spans="4:44">
      <c r="D69" s="303"/>
      <c r="E69" s="303"/>
      <c r="F69" s="314"/>
      <c r="G69" s="303"/>
      <c r="H69" s="303"/>
      <c r="I69" s="303"/>
      <c r="J69" s="21" t="s">
        <v>227</v>
      </c>
      <c r="K69" s="21"/>
      <c r="L69" s="21">
        <v>3</v>
      </c>
      <c r="M69" s="21">
        <v>1</v>
      </c>
      <c r="N69" s="21">
        <v>1</v>
      </c>
      <c r="O69" s="21">
        <v>4</v>
      </c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51"/>
      <c r="AN69" s="51"/>
      <c r="AO69" s="51"/>
      <c r="AP69" s="315"/>
      <c r="AQ69" s="316"/>
      <c r="AR69" s="317"/>
    </row>
    <row r="70" spans="4:44">
      <c r="D70" s="318" t="s">
        <v>211</v>
      </c>
      <c r="E70" s="318">
        <v>2026</v>
      </c>
      <c r="F70" s="303" t="s">
        <v>226</v>
      </c>
      <c r="G70" s="318" t="s">
        <v>73</v>
      </c>
      <c r="H70" s="318" t="s">
        <v>222</v>
      </c>
      <c r="I70" s="318" t="s">
        <v>220</v>
      </c>
      <c r="J70" s="20" t="s">
        <v>214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53"/>
      <c r="AN70" s="53"/>
      <c r="AO70" s="53"/>
      <c r="AP70" s="315"/>
      <c r="AQ70" s="316"/>
      <c r="AR70" s="317"/>
    </row>
    <row r="71" spans="4:44">
      <c r="D71" s="303"/>
      <c r="E71" s="303"/>
      <c r="F71" s="314"/>
      <c r="G71" s="303"/>
      <c r="H71" s="303"/>
      <c r="I71" s="303"/>
      <c r="J71" s="21" t="s">
        <v>227</v>
      </c>
      <c r="K71" s="21"/>
      <c r="L71" s="21"/>
      <c r="M71" s="21"/>
      <c r="N71" s="21">
        <v>2</v>
      </c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51"/>
      <c r="AN71" s="51"/>
      <c r="AO71" s="51"/>
      <c r="AP71" s="315"/>
      <c r="AQ71" s="316"/>
      <c r="AR71" s="317"/>
    </row>
    <row r="72" spans="4:44">
      <c r="D72" s="318" t="s">
        <v>211</v>
      </c>
      <c r="E72" s="318">
        <v>2026</v>
      </c>
      <c r="F72" s="303" t="s">
        <v>226</v>
      </c>
      <c r="G72" s="318" t="s">
        <v>167</v>
      </c>
      <c r="H72" s="318" t="s">
        <v>222</v>
      </c>
      <c r="I72" s="318" t="s">
        <v>220</v>
      </c>
      <c r="J72" s="20" t="s">
        <v>214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53"/>
      <c r="AN72" s="53"/>
      <c r="AO72" s="53"/>
      <c r="AP72" s="315"/>
      <c r="AQ72" s="316"/>
      <c r="AR72" s="317"/>
    </row>
    <row r="73" spans="4:44">
      <c r="D73" s="303"/>
      <c r="E73" s="303"/>
      <c r="F73" s="314"/>
      <c r="G73" s="303"/>
      <c r="H73" s="303"/>
      <c r="I73" s="303"/>
      <c r="J73" s="21" t="s">
        <v>227</v>
      </c>
      <c r="K73" s="21"/>
      <c r="L73" s="21"/>
      <c r="M73" s="21"/>
      <c r="N73" s="21">
        <v>1</v>
      </c>
      <c r="O73" s="21">
        <v>1</v>
      </c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51"/>
      <c r="AN73" s="51"/>
      <c r="AO73" s="51"/>
      <c r="AP73" s="315"/>
      <c r="AQ73" s="316"/>
      <c r="AR73" s="317"/>
    </row>
  </sheetData>
  <mergeCells count="699">
    <mergeCell ref="A1:A2"/>
    <mergeCell ref="B1:B2"/>
    <mergeCell ref="C1:C2"/>
    <mergeCell ref="D1:D2"/>
    <mergeCell ref="E1:E2"/>
    <mergeCell ref="B3:B4"/>
    <mergeCell ref="C3:C4"/>
    <mergeCell ref="D3:D4"/>
    <mergeCell ref="E3:E4"/>
    <mergeCell ref="A3:A34"/>
    <mergeCell ref="B33:B34"/>
    <mergeCell ref="C33:C34"/>
    <mergeCell ref="B23:B24"/>
    <mergeCell ref="C23:C24"/>
    <mergeCell ref="B15:B16"/>
    <mergeCell ref="C17:C18"/>
    <mergeCell ref="D17:D18"/>
    <mergeCell ref="C15:C16"/>
    <mergeCell ref="D15:D16"/>
    <mergeCell ref="D29:D30"/>
    <mergeCell ref="B31:B32"/>
    <mergeCell ref="C31:C32"/>
    <mergeCell ref="D31:D32"/>
    <mergeCell ref="B27:B28"/>
    <mergeCell ref="G1:G2"/>
    <mergeCell ref="G3:G4"/>
    <mergeCell ref="AL1:AN2"/>
    <mergeCell ref="F1:F2"/>
    <mergeCell ref="F5:F6"/>
    <mergeCell ref="B7:B8"/>
    <mergeCell ref="C7:C8"/>
    <mergeCell ref="D5:D6"/>
    <mergeCell ref="E5:E6"/>
    <mergeCell ref="B5:B6"/>
    <mergeCell ref="C5:C6"/>
    <mergeCell ref="F7:F8"/>
    <mergeCell ref="D7:D8"/>
    <mergeCell ref="E7:E8"/>
    <mergeCell ref="O3:O4"/>
    <mergeCell ref="AI3:AI4"/>
    <mergeCell ref="J3:J4"/>
    <mergeCell ref="K3:K4"/>
    <mergeCell ref="L3:L4"/>
    <mergeCell ref="M3:M4"/>
    <mergeCell ref="N3:N4"/>
    <mergeCell ref="T5:T6"/>
    <mergeCell ref="U5:U6"/>
    <mergeCell ref="Y3:Y4"/>
    <mergeCell ref="C27:C28"/>
    <mergeCell ref="D27:D28"/>
    <mergeCell ref="B25:B26"/>
    <mergeCell ref="B29:B30"/>
    <mergeCell ref="C29:C30"/>
    <mergeCell ref="F3:F4"/>
    <mergeCell ref="C13:C14"/>
    <mergeCell ref="D13:D14"/>
    <mergeCell ref="B9:B10"/>
    <mergeCell ref="C9:C10"/>
    <mergeCell ref="D9:D10"/>
    <mergeCell ref="B11:B12"/>
    <mergeCell ref="C11:C12"/>
    <mergeCell ref="D11:D12"/>
    <mergeCell ref="E13:E14"/>
    <mergeCell ref="D19:D20"/>
    <mergeCell ref="B17:B18"/>
    <mergeCell ref="B19:B20"/>
    <mergeCell ref="C19:C20"/>
    <mergeCell ref="B13:B14"/>
    <mergeCell ref="B21:B22"/>
    <mergeCell ref="C21:C22"/>
    <mergeCell ref="D21:D22"/>
    <mergeCell ref="E21:E22"/>
    <mergeCell ref="F21:F22"/>
    <mergeCell ref="D23:D24"/>
    <mergeCell ref="E23:E24"/>
    <mergeCell ref="F23:F24"/>
    <mergeCell ref="C25:C26"/>
    <mergeCell ref="D25:D26"/>
    <mergeCell ref="I50:I51"/>
    <mergeCell ref="J50:J51"/>
    <mergeCell ref="K50:AO50"/>
    <mergeCell ref="E25:E26"/>
    <mergeCell ref="F25:F26"/>
    <mergeCell ref="E27:E28"/>
    <mergeCell ref="F27:F28"/>
    <mergeCell ref="P21:P22"/>
    <mergeCell ref="Q21:Q22"/>
    <mergeCell ref="R21:R22"/>
    <mergeCell ref="S21:S22"/>
    <mergeCell ref="L21:L22"/>
    <mergeCell ref="M21:M22"/>
    <mergeCell ref="N21:N22"/>
    <mergeCell ref="O21:O22"/>
    <mergeCell ref="G21:G22"/>
    <mergeCell ref="H21:H22"/>
    <mergeCell ref="I21:I22"/>
    <mergeCell ref="AP50:AR51"/>
    <mergeCell ref="D52:D53"/>
    <mergeCell ref="E52:E53"/>
    <mergeCell ref="F52:F53"/>
    <mergeCell ref="G52:G53"/>
    <mergeCell ref="H52:H53"/>
    <mergeCell ref="I52:I53"/>
    <mergeCell ref="AP52:AR52"/>
    <mergeCell ref="AP53:AR53"/>
    <mergeCell ref="D50:D51"/>
    <mergeCell ref="E50:E51"/>
    <mergeCell ref="F50:F51"/>
    <mergeCell ref="G50:G51"/>
    <mergeCell ref="H50:H51"/>
    <mergeCell ref="I54:I55"/>
    <mergeCell ref="AP54:AR54"/>
    <mergeCell ref="AP55:AR55"/>
    <mergeCell ref="D56:D57"/>
    <mergeCell ref="E56:E57"/>
    <mergeCell ref="F56:F57"/>
    <mergeCell ref="G56:G57"/>
    <mergeCell ref="H56:H57"/>
    <mergeCell ref="I56:I57"/>
    <mergeCell ref="AP56:AR56"/>
    <mergeCell ref="AP57:AR57"/>
    <mergeCell ref="D54:D55"/>
    <mergeCell ref="E54:E55"/>
    <mergeCell ref="F54:F55"/>
    <mergeCell ref="G54:G55"/>
    <mergeCell ref="H54:H55"/>
    <mergeCell ref="I58:I59"/>
    <mergeCell ref="AP58:AR58"/>
    <mergeCell ref="AP59:AR59"/>
    <mergeCell ref="D60:D61"/>
    <mergeCell ref="E60:E61"/>
    <mergeCell ref="F60:F61"/>
    <mergeCell ref="G60:G61"/>
    <mergeCell ref="H60:H61"/>
    <mergeCell ref="I60:I61"/>
    <mergeCell ref="AP60:AR60"/>
    <mergeCell ref="AP61:AR61"/>
    <mergeCell ref="D58:D59"/>
    <mergeCell ref="E58:E59"/>
    <mergeCell ref="F58:F59"/>
    <mergeCell ref="G58:G59"/>
    <mergeCell ref="H58:H59"/>
    <mergeCell ref="D62:D63"/>
    <mergeCell ref="E62:E63"/>
    <mergeCell ref="F62:F63"/>
    <mergeCell ref="G62:G63"/>
    <mergeCell ref="H62:H63"/>
    <mergeCell ref="D64:D65"/>
    <mergeCell ref="E64:E65"/>
    <mergeCell ref="F64:F65"/>
    <mergeCell ref="G64:G65"/>
    <mergeCell ref="H64:H65"/>
    <mergeCell ref="D66:D67"/>
    <mergeCell ref="E66:E67"/>
    <mergeCell ref="F66:F67"/>
    <mergeCell ref="G66:G67"/>
    <mergeCell ref="H66:H67"/>
    <mergeCell ref="D68:D69"/>
    <mergeCell ref="E68:E69"/>
    <mergeCell ref="F68:F69"/>
    <mergeCell ref="G68:G69"/>
    <mergeCell ref="H68:H69"/>
    <mergeCell ref="I72:I73"/>
    <mergeCell ref="AP72:AR72"/>
    <mergeCell ref="AP73:AR73"/>
    <mergeCell ref="D70:D71"/>
    <mergeCell ref="E70:E71"/>
    <mergeCell ref="F70:F71"/>
    <mergeCell ref="G70:G71"/>
    <mergeCell ref="H70:H71"/>
    <mergeCell ref="D72:D73"/>
    <mergeCell ref="E72:E73"/>
    <mergeCell ref="F72:F73"/>
    <mergeCell ref="G72:G73"/>
    <mergeCell ref="H72:H73"/>
    <mergeCell ref="I70:I71"/>
    <mergeCell ref="AP70:AR70"/>
    <mergeCell ref="AP71:AR71"/>
    <mergeCell ref="I66:I67"/>
    <mergeCell ref="AP66:AR66"/>
    <mergeCell ref="AP67:AR67"/>
    <mergeCell ref="I68:I69"/>
    <mergeCell ref="AP68:AR68"/>
    <mergeCell ref="AP69:AR69"/>
    <mergeCell ref="I62:I63"/>
    <mergeCell ref="AP62:AR62"/>
    <mergeCell ref="AP63:AR63"/>
    <mergeCell ref="I64:I65"/>
    <mergeCell ref="AP64:AR64"/>
    <mergeCell ref="AP65:AR65"/>
    <mergeCell ref="H1:AK1"/>
    <mergeCell ref="P3:P4"/>
    <mergeCell ref="Q3:Q4"/>
    <mergeCell ref="R3:R4"/>
    <mergeCell ref="S3:S4"/>
    <mergeCell ref="T3:T4"/>
    <mergeCell ref="AA3:AA4"/>
    <mergeCell ref="AB3:AB4"/>
    <mergeCell ref="AC3:AC4"/>
    <mergeCell ref="AD3:AD4"/>
    <mergeCell ref="AE3:AE4"/>
    <mergeCell ref="AF3:AF4"/>
    <mergeCell ref="AG3:AG4"/>
    <mergeCell ref="AH3:AH4"/>
    <mergeCell ref="H3:H4"/>
    <mergeCell ref="I3:I4"/>
    <mergeCell ref="Z3:Z4"/>
    <mergeCell ref="AJ3:AJ4"/>
    <mergeCell ref="AK3:AK4"/>
    <mergeCell ref="U3:U4"/>
    <mergeCell ref="V3:V4"/>
    <mergeCell ref="W3:W4"/>
    <mergeCell ref="X3:X4"/>
    <mergeCell ref="X9:X10"/>
    <mergeCell ref="P11:P12"/>
    <mergeCell ref="T11:T12"/>
    <mergeCell ref="E31:E32"/>
    <mergeCell ref="F31:F32"/>
    <mergeCell ref="AL3:AN4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E29:E30"/>
    <mergeCell ref="F29:F30"/>
    <mergeCell ref="E19:E20"/>
    <mergeCell ref="F19:F20"/>
    <mergeCell ref="G9:G10"/>
    <mergeCell ref="G11:G12"/>
    <mergeCell ref="M9:M10"/>
    <mergeCell ref="N9:N10"/>
    <mergeCell ref="O9:O10"/>
    <mergeCell ref="H11:H12"/>
    <mergeCell ref="I11:I12"/>
    <mergeCell ref="U7:U8"/>
    <mergeCell ref="K7:K8"/>
    <mergeCell ref="L7:L8"/>
    <mergeCell ref="M7:M8"/>
    <mergeCell ref="N7:N8"/>
    <mergeCell ref="O7:O8"/>
    <mergeCell ref="H9:H10"/>
    <mergeCell ref="I9:I10"/>
    <mergeCell ref="J9:J10"/>
    <mergeCell ref="K9:K10"/>
    <mergeCell ref="L9:L10"/>
    <mergeCell ref="Q7:Q8"/>
    <mergeCell ref="R7:R8"/>
    <mergeCell ref="S7:S8"/>
    <mergeCell ref="T7:T8"/>
    <mergeCell ref="U11:U12"/>
    <mergeCell ref="K11:K12"/>
    <mergeCell ref="J11:J12"/>
    <mergeCell ref="F17:F18"/>
    <mergeCell ref="E17:E18"/>
    <mergeCell ref="F15:F16"/>
    <mergeCell ref="F13:F14"/>
    <mergeCell ref="E15:E16"/>
    <mergeCell ref="F11:F12"/>
    <mergeCell ref="E9:E10"/>
    <mergeCell ref="F9:F10"/>
    <mergeCell ref="E11:E12"/>
    <mergeCell ref="X7:X8"/>
    <mergeCell ref="W7:W8"/>
    <mergeCell ref="G5:G6"/>
    <mergeCell ref="G7:G8"/>
    <mergeCell ref="H7:H8"/>
    <mergeCell ref="I7:I8"/>
    <mergeCell ref="J7:J8"/>
    <mergeCell ref="AD7:AD8"/>
    <mergeCell ref="AE7:AE8"/>
    <mergeCell ref="V5:V6"/>
    <mergeCell ref="W5:W6"/>
    <mergeCell ref="X5:X6"/>
    <mergeCell ref="Y5:Y6"/>
    <mergeCell ref="Z5:Z6"/>
    <mergeCell ref="V7:V8"/>
    <mergeCell ref="P7:P8"/>
    <mergeCell ref="AA5:AA6"/>
    <mergeCell ref="AB5:AB6"/>
    <mergeCell ref="AC5:AC6"/>
    <mergeCell ref="AD5:AD6"/>
    <mergeCell ref="AE5:AE6"/>
    <mergeCell ref="AK5:AK6"/>
    <mergeCell ref="AL5:AN6"/>
    <mergeCell ref="AJ5:AJ6"/>
    <mergeCell ref="AK7:AK8"/>
    <mergeCell ref="AL7:AN8"/>
    <mergeCell ref="AA7:AA8"/>
    <mergeCell ref="AB7:AB8"/>
    <mergeCell ref="AC7:AC8"/>
    <mergeCell ref="AI7:AI8"/>
    <mergeCell ref="AJ7:AJ8"/>
    <mergeCell ref="AF5:AF6"/>
    <mergeCell ref="AG5:AG6"/>
    <mergeCell ref="AH5:AH6"/>
    <mergeCell ref="AI5:AI6"/>
    <mergeCell ref="Y9:Y10"/>
    <mergeCell ref="Z9:Z10"/>
    <mergeCell ref="AA9:AA10"/>
    <mergeCell ref="AB9:AB10"/>
    <mergeCell ref="Y7:Y8"/>
    <mergeCell ref="Z7:Z8"/>
    <mergeCell ref="AF7:AF8"/>
    <mergeCell ref="AG7:AG8"/>
    <mergeCell ref="AH7:AH8"/>
    <mergeCell ref="AK11:AK12"/>
    <mergeCell ref="AL11:AN12"/>
    <mergeCell ref="AJ11:AJ12"/>
    <mergeCell ref="P9:P10"/>
    <mergeCell ref="Q9:Q10"/>
    <mergeCell ref="R9:R10"/>
    <mergeCell ref="S9:S10"/>
    <mergeCell ref="T9:T10"/>
    <mergeCell ref="U9:U10"/>
    <mergeCell ref="V9:V10"/>
    <mergeCell ref="W9:W10"/>
    <mergeCell ref="AH9:AH10"/>
    <mergeCell ref="AI9:AI10"/>
    <mergeCell ref="AJ9:AJ10"/>
    <mergeCell ref="AK9:AK10"/>
    <mergeCell ref="AL9:AN10"/>
    <mergeCell ref="AC9:AC10"/>
    <mergeCell ref="AD9:AD10"/>
    <mergeCell ref="AE9:AE10"/>
    <mergeCell ref="AF9:AF10"/>
    <mergeCell ref="AG9:AG10"/>
    <mergeCell ref="Q11:Q12"/>
    <mergeCell ref="R11:R12"/>
    <mergeCell ref="S11:S12"/>
    <mergeCell ref="Q13:Q14"/>
    <mergeCell ref="R13:R14"/>
    <mergeCell ref="S13:S14"/>
    <mergeCell ref="T13:T14"/>
    <mergeCell ref="Z13:Z14"/>
    <mergeCell ref="Y13:Y14"/>
    <mergeCell ref="L11:L12"/>
    <mergeCell ref="M11:M12"/>
    <mergeCell ref="N11:N12"/>
    <mergeCell ref="O11:O12"/>
    <mergeCell ref="G13:G14"/>
    <mergeCell ref="H13:H14"/>
    <mergeCell ref="I13:I14"/>
    <mergeCell ref="J13:J14"/>
    <mergeCell ref="K13:K14"/>
    <mergeCell ref="AF11:AF12"/>
    <mergeCell ref="AG11:AG12"/>
    <mergeCell ref="AH11:AH12"/>
    <mergeCell ref="AI11:AI12"/>
    <mergeCell ref="AA11:AA12"/>
    <mergeCell ref="AB11:AB12"/>
    <mergeCell ref="AC11:AC12"/>
    <mergeCell ref="AD11:AD12"/>
    <mergeCell ref="AE11:AE12"/>
    <mergeCell ref="V11:V12"/>
    <mergeCell ref="W11:W12"/>
    <mergeCell ref="X11:X12"/>
    <mergeCell ref="Y11:Y12"/>
    <mergeCell ref="Z11:Z12"/>
    <mergeCell ref="L13:L14"/>
    <mergeCell ref="M13:M14"/>
    <mergeCell ref="N13:N14"/>
    <mergeCell ref="O13:O14"/>
    <mergeCell ref="P13:P14"/>
    <mergeCell ref="AL13:AN14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AE15:AE16"/>
    <mergeCell ref="AF15:AF16"/>
    <mergeCell ref="AG15:AG16"/>
    <mergeCell ref="AK13:AK14"/>
    <mergeCell ref="U13:U14"/>
    <mergeCell ref="V13:V14"/>
    <mergeCell ref="W13:W14"/>
    <mergeCell ref="X13:X14"/>
    <mergeCell ref="AA13:AA14"/>
    <mergeCell ref="AB13:AB14"/>
    <mergeCell ref="AI15:AI16"/>
    <mergeCell ref="AJ15:AJ16"/>
    <mergeCell ref="AK15:AK16"/>
    <mergeCell ref="AB15:AB16"/>
    <mergeCell ref="AC15:AC16"/>
    <mergeCell ref="AH15:AH16"/>
    <mergeCell ref="Y15:Y16"/>
    <mergeCell ref="AJ13:AJ14"/>
    <mergeCell ref="AI17:AI18"/>
    <mergeCell ref="AF17:AF18"/>
    <mergeCell ref="AG17:AG18"/>
    <mergeCell ref="Z15:Z16"/>
    <mergeCell ref="AA15:AA16"/>
    <mergeCell ref="AC13:AC14"/>
    <mergeCell ref="AD13:AD14"/>
    <mergeCell ref="AE13:AE14"/>
    <mergeCell ref="AF13:AF14"/>
    <mergeCell ref="AG13:AG14"/>
    <mergeCell ref="AH13:AH14"/>
    <mergeCell ref="AI13:AI14"/>
    <mergeCell ref="AL15:AN16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AD15:AD16"/>
    <mergeCell ref="T15:T16"/>
    <mergeCell ref="U15:U16"/>
    <mergeCell ref="V15:V16"/>
    <mergeCell ref="W15:W16"/>
    <mergeCell ref="X15:X16"/>
    <mergeCell ref="AK17:AK18"/>
    <mergeCell ref="AL17:AN18"/>
    <mergeCell ref="AC17:AC18"/>
    <mergeCell ref="AD17:AD18"/>
    <mergeCell ref="AE17:AE18"/>
    <mergeCell ref="AK19:AK20"/>
    <mergeCell ref="AL19:AN20"/>
    <mergeCell ref="AJ19:AJ20"/>
    <mergeCell ref="AA17:AA18"/>
    <mergeCell ref="AB17:AB18"/>
    <mergeCell ref="S17:S18"/>
    <mergeCell ref="T17:T18"/>
    <mergeCell ref="U17:U18"/>
    <mergeCell ref="V17:V18"/>
    <mergeCell ref="W17:W18"/>
    <mergeCell ref="AH17:AH18"/>
    <mergeCell ref="Z17:Z18"/>
    <mergeCell ref="X17:X18"/>
    <mergeCell ref="Y17:Y18"/>
    <mergeCell ref="AJ17:AJ18"/>
    <mergeCell ref="S19:S20"/>
    <mergeCell ref="T19:T20"/>
    <mergeCell ref="U19:U20"/>
    <mergeCell ref="V19:V20"/>
    <mergeCell ref="W19:W20"/>
    <mergeCell ref="X19:X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J21:J22"/>
    <mergeCell ref="K21:K22"/>
    <mergeCell ref="W21:W22"/>
    <mergeCell ref="X21:X22"/>
    <mergeCell ref="Y21:Y22"/>
    <mergeCell ref="AF19:AF20"/>
    <mergeCell ref="AG19:AG20"/>
    <mergeCell ref="AH19:AH20"/>
    <mergeCell ref="AI19:AI20"/>
    <mergeCell ref="AA19:AA20"/>
    <mergeCell ref="AB19:AB20"/>
    <mergeCell ref="AC19:AC20"/>
    <mergeCell ref="AD19:AD20"/>
    <mergeCell ref="AE19:AE20"/>
    <mergeCell ref="Y19:Y20"/>
    <mergeCell ref="Z19:Z20"/>
    <mergeCell ref="P19:P20"/>
    <mergeCell ref="Q19:Q20"/>
    <mergeCell ref="R19:R20"/>
    <mergeCell ref="AL21:AN22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AE23:AE24"/>
    <mergeCell ref="AF23:AF24"/>
    <mergeCell ref="AG23:AG24"/>
    <mergeCell ref="AK21:AK22"/>
    <mergeCell ref="U21:U22"/>
    <mergeCell ref="V21:V22"/>
    <mergeCell ref="T21:T22"/>
    <mergeCell ref="Z21:Z22"/>
    <mergeCell ref="AA21:AA22"/>
    <mergeCell ref="AB21:AB22"/>
    <mergeCell ref="AI23:AI24"/>
    <mergeCell ref="AJ23:AJ24"/>
    <mergeCell ref="AK23:AK24"/>
    <mergeCell ref="AB23:AB24"/>
    <mergeCell ref="AC23:AC24"/>
    <mergeCell ref="AH23:AH24"/>
    <mergeCell ref="Y23:Y24"/>
    <mergeCell ref="AJ21:AJ22"/>
    <mergeCell ref="AI25:AI26"/>
    <mergeCell ref="AF25:AF26"/>
    <mergeCell ref="AG25:AG26"/>
    <mergeCell ref="AH21:AH22"/>
    <mergeCell ref="AI21:AI22"/>
    <mergeCell ref="Z23:Z24"/>
    <mergeCell ref="AA23:AA24"/>
    <mergeCell ref="AC21:AC22"/>
    <mergeCell ref="AD21:AD22"/>
    <mergeCell ref="AE21:AE22"/>
    <mergeCell ref="AF21:AF22"/>
    <mergeCell ref="AG21:AG22"/>
    <mergeCell ref="AL23:AN24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AD23:AD24"/>
    <mergeCell ref="T23:T24"/>
    <mergeCell ref="U23:U24"/>
    <mergeCell ref="V23:V24"/>
    <mergeCell ref="W23:W24"/>
    <mergeCell ref="X23:X24"/>
    <mergeCell ref="AK25:AK26"/>
    <mergeCell ref="AL25:AN26"/>
    <mergeCell ref="AC25:AC26"/>
    <mergeCell ref="AD25:AD26"/>
    <mergeCell ref="AE25:AE26"/>
    <mergeCell ref="L29:L30"/>
    <mergeCell ref="P27:P28"/>
    <mergeCell ref="AK27:AK28"/>
    <mergeCell ref="AL27:AN28"/>
    <mergeCell ref="AJ27:AJ28"/>
    <mergeCell ref="AA25:AA26"/>
    <mergeCell ref="AB25:AB26"/>
    <mergeCell ref="S25:S26"/>
    <mergeCell ref="T25:T26"/>
    <mergeCell ref="U25:U26"/>
    <mergeCell ref="V25:V26"/>
    <mergeCell ref="W25:W26"/>
    <mergeCell ref="AH25:AH26"/>
    <mergeCell ref="Z25:Z26"/>
    <mergeCell ref="X25:X26"/>
    <mergeCell ref="Y25:Y26"/>
    <mergeCell ref="AJ25:AJ26"/>
    <mergeCell ref="AG27:AG28"/>
    <mergeCell ref="AH27:AH28"/>
    <mergeCell ref="AI27:AI28"/>
    <mergeCell ref="AA27:AA28"/>
    <mergeCell ref="AB27:AB28"/>
    <mergeCell ref="AC27:AC28"/>
    <mergeCell ref="AD27:AD28"/>
    <mergeCell ref="G27:G28"/>
    <mergeCell ref="H27:H28"/>
    <mergeCell ref="I27:I28"/>
    <mergeCell ref="J27:J28"/>
    <mergeCell ref="K27:K28"/>
    <mergeCell ref="P29:P30"/>
    <mergeCell ref="Q29:Q30"/>
    <mergeCell ref="R29:R30"/>
    <mergeCell ref="S29:S30"/>
    <mergeCell ref="Q27:Q28"/>
    <mergeCell ref="R27:R28"/>
    <mergeCell ref="S27:S28"/>
    <mergeCell ref="G29:G30"/>
    <mergeCell ref="M29:M30"/>
    <mergeCell ref="N29:N30"/>
    <mergeCell ref="O29:O30"/>
    <mergeCell ref="L27:L28"/>
    <mergeCell ref="M27:M28"/>
    <mergeCell ref="N27:N28"/>
    <mergeCell ref="O27:O28"/>
    <mergeCell ref="H29:H30"/>
    <mergeCell ref="I29:I30"/>
    <mergeCell ref="J29:J30"/>
    <mergeCell ref="K29:K30"/>
    <mergeCell ref="Z29:Z30"/>
    <mergeCell ref="AA29:AA30"/>
    <mergeCell ref="AB29:AB30"/>
    <mergeCell ref="T29:T30"/>
    <mergeCell ref="AF27:AF28"/>
    <mergeCell ref="V27:V28"/>
    <mergeCell ref="W27:W28"/>
    <mergeCell ref="X27:X28"/>
    <mergeCell ref="Y27:Y28"/>
    <mergeCell ref="Z27:Z28"/>
    <mergeCell ref="T27:T28"/>
    <mergeCell ref="U27:U28"/>
    <mergeCell ref="AC29:AC30"/>
    <mergeCell ref="AD29:AD30"/>
    <mergeCell ref="U29:U30"/>
    <mergeCell ref="V29:V30"/>
    <mergeCell ref="AE29:AE30"/>
    <mergeCell ref="AF29:AF30"/>
    <mergeCell ref="W29:W30"/>
    <mergeCell ref="X29:X30"/>
    <mergeCell ref="Y29:Y30"/>
    <mergeCell ref="AE27:AE28"/>
    <mergeCell ref="AG29:AG30"/>
    <mergeCell ref="AH29:AH30"/>
    <mergeCell ref="AI29:AI30"/>
    <mergeCell ref="AJ29:AJ30"/>
    <mergeCell ref="AK29:AK30"/>
    <mergeCell ref="AL29:AN30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AB31:AB32"/>
    <mergeCell ref="AC31:AC32"/>
    <mergeCell ref="AI31:AI32"/>
    <mergeCell ref="AJ31:AJ32"/>
    <mergeCell ref="AK31:AK32"/>
    <mergeCell ref="AL31:AN32"/>
    <mergeCell ref="AD31:AD32"/>
    <mergeCell ref="AE31:AE32"/>
    <mergeCell ref="AF31:AF32"/>
    <mergeCell ref="AG31:AG32"/>
    <mergeCell ref="AH31:AH32"/>
    <mergeCell ref="AL33:AN34"/>
    <mergeCell ref="AC33:AC34"/>
    <mergeCell ref="AD33:AD34"/>
    <mergeCell ref="AE33:AE34"/>
    <mergeCell ref="AF33:AF34"/>
    <mergeCell ref="AG33:AG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AH33:AH34"/>
    <mergeCell ref="AI33:AI34"/>
    <mergeCell ref="AJ33:AJ34"/>
    <mergeCell ref="AK33:AK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B34"/>
    <mergeCell ref="D33:D34"/>
    <mergeCell ref="E33:E34"/>
    <mergeCell ref="F33:F34"/>
    <mergeCell ref="G33:G34"/>
    <mergeCell ref="H33:H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4"/>
  <sheetViews>
    <sheetView workbookViewId="0"/>
  </sheetViews>
  <sheetFormatPr defaultRowHeight="15"/>
  <cols>
    <col min="1" max="1" width="27.28515625" customWidth="1"/>
    <col min="2" max="2" width="32.42578125" customWidth="1"/>
    <col min="3" max="3" width="43.7109375" customWidth="1"/>
    <col min="4" max="4" width="31.140625" customWidth="1"/>
    <col min="5" max="5" width="41.5703125" customWidth="1"/>
    <col min="6" max="6" width="13.140625" customWidth="1"/>
    <col min="7" max="7" width="17.7109375" customWidth="1"/>
    <col min="8" max="8" width="10.5703125" customWidth="1"/>
  </cols>
  <sheetData>
    <row r="1" spans="1:8">
      <c r="A1" s="327" t="s">
        <v>231</v>
      </c>
      <c r="B1" s="334" t="s">
        <v>231</v>
      </c>
      <c r="C1" s="334"/>
      <c r="D1" s="334"/>
      <c r="E1" s="334"/>
      <c r="F1" s="334"/>
      <c r="G1" s="327" t="s">
        <v>232</v>
      </c>
      <c r="H1" s="327" t="s">
        <v>233</v>
      </c>
    </row>
    <row r="2" spans="1:8">
      <c r="A2" s="327"/>
      <c r="B2" s="11" t="s">
        <v>234</v>
      </c>
      <c r="C2" s="11" t="s">
        <v>235</v>
      </c>
      <c r="D2" s="11" t="s">
        <v>236</v>
      </c>
      <c r="E2" s="11" t="s">
        <v>237</v>
      </c>
      <c r="F2" s="11" t="s">
        <v>238</v>
      </c>
      <c r="G2" s="327"/>
      <c r="H2" s="327"/>
    </row>
    <row r="3" spans="1:8" ht="51">
      <c r="A3" s="328" t="s">
        <v>239</v>
      </c>
      <c r="B3" s="331" t="s">
        <v>240</v>
      </c>
      <c r="C3" s="331" t="s">
        <v>241</v>
      </c>
      <c r="D3" s="13" t="s">
        <v>242</v>
      </c>
      <c r="E3" s="13" t="s">
        <v>243</v>
      </c>
      <c r="F3" s="13" t="s">
        <v>244</v>
      </c>
      <c r="G3" s="13" t="s">
        <v>245</v>
      </c>
      <c r="H3" s="13" t="s">
        <v>246</v>
      </c>
    </row>
    <row r="4" spans="1:8" ht="38.25">
      <c r="A4" s="329"/>
      <c r="B4" s="332"/>
      <c r="C4" s="332"/>
      <c r="D4" s="13" t="s">
        <v>247</v>
      </c>
      <c r="E4" s="13" t="s">
        <v>248</v>
      </c>
      <c r="F4" s="13" t="s">
        <v>244</v>
      </c>
      <c r="G4" s="13" t="s">
        <v>245</v>
      </c>
      <c r="H4" s="13" t="s">
        <v>246</v>
      </c>
    </row>
    <row r="5" spans="1:8" ht="38.25">
      <c r="A5" s="330"/>
      <c r="B5" s="333"/>
      <c r="C5" s="333"/>
      <c r="D5" s="13" t="s">
        <v>249</v>
      </c>
      <c r="E5" s="13" t="s">
        <v>250</v>
      </c>
      <c r="F5" s="27">
        <v>46064</v>
      </c>
      <c r="G5" s="13" t="s">
        <v>245</v>
      </c>
      <c r="H5" s="13" t="s">
        <v>246</v>
      </c>
    </row>
    <row r="6" spans="1:8" ht="38.25">
      <c r="A6" s="335" t="s">
        <v>251</v>
      </c>
      <c r="B6" s="326" t="s">
        <v>252</v>
      </c>
      <c r="C6" s="326" t="s">
        <v>253</v>
      </c>
      <c r="D6" s="13" t="s">
        <v>254</v>
      </c>
      <c r="E6" s="13" t="s">
        <v>255</v>
      </c>
      <c r="F6" s="27">
        <v>46070</v>
      </c>
      <c r="G6" s="13" t="s">
        <v>256</v>
      </c>
      <c r="H6" s="13" t="s">
        <v>257</v>
      </c>
    </row>
    <row r="7" spans="1:8" ht="38.25" customHeight="1">
      <c r="A7" s="335"/>
      <c r="B7" s="326"/>
      <c r="C7" s="326"/>
      <c r="D7" s="326" t="s">
        <v>258</v>
      </c>
      <c r="E7" s="326" t="s">
        <v>259</v>
      </c>
      <c r="F7" s="336">
        <v>46070</v>
      </c>
      <c r="G7" s="326" t="s">
        <v>260</v>
      </c>
      <c r="H7" s="326" t="s">
        <v>261</v>
      </c>
    </row>
    <row r="8" spans="1:8" ht="81.75" customHeight="1">
      <c r="A8" s="335"/>
      <c r="B8" s="326"/>
      <c r="C8" s="326"/>
      <c r="D8" s="326"/>
      <c r="E8" s="326"/>
      <c r="F8" s="326"/>
      <c r="G8" s="326"/>
      <c r="H8" s="326"/>
    </row>
    <row r="9" spans="1:8" ht="25.5">
      <c r="A9" s="14" t="s">
        <v>262</v>
      </c>
      <c r="B9" s="23"/>
      <c r="C9" s="23"/>
      <c r="D9" s="23"/>
      <c r="E9" s="23"/>
      <c r="F9" s="23" t="s">
        <v>263</v>
      </c>
      <c r="G9" s="23"/>
      <c r="H9" s="23" t="s">
        <v>246</v>
      </c>
    </row>
    <row r="10" spans="1:8" ht="76.5">
      <c r="A10" s="12" t="s">
        <v>264</v>
      </c>
      <c r="B10" s="13"/>
      <c r="C10" s="13" t="s">
        <v>265</v>
      </c>
      <c r="D10" s="13" t="s">
        <v>266</v>
      </c>
      <c r="E10" s="13" t="s">
        <v>267</v>
      </c>
      <c r="F10" s="27">
        <v>46081</v>
      </c>
      <c r="G10" s="13" t="s">
        <v>268</v>
      </c>
      <c r="H10" s="13" t="s">
        <v>257</v>
      </c>
    </row>
    <row r="11" spans="1:8" ht="76.5">
      <c r="A11" s="26" t="s">
        <v>269</v>
      </c>
      <c r="B11" s="13" t="s">
        <v>270</v>
      </c>
      <c r="C11" s="13" t="s">
        <v>271</v>
      </c>
      <c r="D11" s="13" t="s">
        <v>272</v>
      </c>
      <c r="E11" s="13" t="s">
        <v>273</v>
      </c>
      <c r="F11" s="27">
        <v>46070</v>
      </c>
      <c r="G11" s="13" t="s">
        <v>274</v>
      </c>
      <c r="H11" s="13" t="s">
        <v>257</v>
      </c>
    </row>
    <row r="13" spans="1:8">
      <c r="B13" s="24"/>
      <c r="C13" s="25"/>
      <c r="D13" s="25"/>
      <c r="E13" s="25"/>
      <c r="F13" s="25"/>
      <c r="G13" s="25"/>
      <c r="H13" s="25"/>
    </row>
    <row r="71" spans="1:8" ht="15.75">
      <c r="A71" s="144" t="s">
        <v>231</v>
      </c>
      <c r="B71" s="144" t="s">
        <v>234</v>
      </c>
      <c r="C71" s="144" t="s">
        <v>275</v>
      </c>
      <c r="D71" s="144" t="s">
        <v>236</v>
      </c>
      <c r="E71" s="144" t="s">
        <v>276</v>
      </c>
      <c r="F71" s="144" t="s">
        <v>238</v>
      </c>
      <c r="G71" s="144" t="s">
        <v>232</v>
      </c>
      <c r="H71" s="144" t="s">
        <v>233</v>
      </c>
    </row>
    <row r="72" spans="1:8" ht="78.75">
      <c r="A72" s="145" t="s">
        <v>239</v>
      </c>
      <c r="B72" s="145" t="s">
        <v>277</v>
      </c>
      <c r="C72" s="145" t="s">
        <v>278</v>
      </c>
      <c r="D72" s="145" t="s">
        <v>279</v>
      </c>
      <c r="E72" s="145" t="s">
        <v>280</v>
      </c>
      <c r="F72" s="145" t="s">
        <v>281</v>
      </c>
      <c r="G72" s="145" t="s">
        <v>282</v>
      </c>
      <c r="H72" s="145" t="s">
        <v>257</v>
      </c>
    </row>
    <row r="73" spans="1:8" ht="63">
      <c r="A73" s="145" t="s">
        <v>239</v>
      </c>
      <c r="B73" s="145" t="s">
        <v>283</v>
      </c>
      <c r="C73" s="145" t="s">
        <v>284</v>
      </c>
      <c r="D73" s="145" t="s">
        <v>285</v>
      </c>
      <c r="E73" s="145" t="s">
        <v>286</v>
      </c>
      <c r="F73" s="145" t="s">
        <v>281</v>
      </c>
      <c r="G73" s="145" t="s">
        <v>287</v>
      </c>
      <c r="H73" s="145" t="s">
        <v>257</v>
      </c>
    </row>
    <row r="74" spans="1:8" ht="63">
      <c r="A74" s="145" t="s">
        <v>239</v>
      </c>
      <c r="B74" s="145" t="s">
        <v>288</v>
      </c>
      <c r="C74" s="145" t="s">
        <v>289</v>
      </c>
      <c r="D74" s="145" t="s">
        <v>290</v>
      </c>
      <c r="E74" s="145" t="s">
        <v>291</v>
      </c>
      <c r="F74" s="146">
        <v>46163</v>
      </c>
      <c r="G74" s="145" t="s">
        <v>292</v>
      </c>
      <c r="H74" s="145" t="s">
        <v>257</v>
      </c>
    </row>
    <row r="75" spans="1:8" ht="63">
      <c r="A75" s="145" t="s">
        <v>239</v>
      </c>
      <c r="B75" s="145" t="s">
        <v>293</v>
      </c>
      <c r="C75" s="145" t="s">
        <v>294</v>
      </c>
      <c r="D75" s="145" t="s">
        <v>295</v>
      </c>
      <c r="E75" s="145" t="s">
        <v>296</v>
      </c>
      <c r="F75" s="145" t="s">
        <v>281</v>
      </c>
      <c r="G75" s="145" t="s">
        <v>297</v>
      </c>
      <c r="H75" s="145" t="s">
        <v>257</v>
      </c>
    </row>
    <row r="76" spans="1:8" ht="47.25">
      <c r="A76" s="145" t="s">
        <v>251</v>
      </c>
      <c r="B76" s="145" t="s">
        <v>298</v>
      </c>
      <c r="C76" s="145" t="s">
        <v>299</v>
      </c>
      <c r="D76" s="145" t="s">
        <v>300</v>
      </c>
      <c r="E76" s="145" t="s">
        <v>301</v>
      </c>
      <c r="F76" s="145" t="s">
        <v>281</v>
      </c>
      <c r="G76" s="145" t="s">
        <v>302</v>
      </c>
      <c r="H76" s="145" t="s">
        <v>257</v>
      </c>
    </row>
    <row r="77" spans="1:8" ht="47.25">
      <c r="A77" s="145" t="s">
        <v>251</v>
      </c>
      <c r="B77" s="145" t="s">
        <v>303</v>
      </c>
      <c r="C77" s="145" t="s">
        <v>304</v>
      </c>
      <c r="D77" s="145" t="s">
        <v>305</v>
      </c>
      <c r="E77" s="145" t="s">
        <v>306</v>
      </c>
      <c r="F77" s="145" t="s">
        <v>281</v>
      </c>
      <c r="G77" s="145" t="s">
        <v>307</v>
      </c>
      <c r="H77" s="145" t="s">
        <v>257</v>
      </c>
    </row>
    <row r="78" spans="1:8" ht="63">
      <c r="A78" s="145" t="s">
        <v>251</v>
      </c>
      <c r="B78" s="145" t="s">
        <v>308</v>
      </c>
      <c r="C78" s="145" t="s">
        <v>309</v>
      </c>
      <c r="D78" s="145" t="s">
        <v>310</v>
      </c>
      <c r="E78" s="145" t="s">
        <v>311</v>
      </c>
      <c r="F78" s="146">
        <v>46164</v>
      </c>
      <c r="G78" s="145" t="s">
        <v>312</v>
      </c>
      <c r="H78" s="145" t="s">
        <v>257</v>
      </c>
    </row>
    <row r="79" spans="1:8" ht="63">
      <c r="A79" s="145" t="s">
        <v>251</v>
      </c>
      <c r="B79" s="145" t="s">
        <v>313</v>
      </c>
      <c r="C79" s="145" t="s">
        <v>314</v>
      </c>
      <c r="D79" s="145" t="s">
        <v>315</v>
      </c>
      <c r="E79" s="145" t="s">
        <v>316</v>
      </c>
      <c r="F79" s="145" t="s">
        <v>281</v>
      </c>
      <c r="G79" s="145" t="s">
        <v>302</v>
      </c>
      <c r="H79" s="145" t="s">
        <v>257</v>
      </c>
    </row>
    <row r="80" spans="1:8" ht="47.25">
      <c r="A80" s="145" t="s">
        <v>264</v>
      </c>
      <c r="B80" s="145" t="s">
        <v>317</v>
      </c>
      <c r="C80" s="145" t="s">
        <v>318</v>
      </c>
      <c r="D80" s="145" t="s">
        <v>319</v>
      </c>
      <c r="E80" s="145" t="s">
        <v>320</v>
      </c>
      <c r="F80" s="146">
        <v>46163</v>
      </c>
      <c r="G80" s="145" t="s">
        <v>321</v>
      </c>
      <c r="H80" s="145" t="s">
        <v>257</v>
      </c>
    </row>
    <row r="81" spans="1:8" ht="47.25">
      <c r="A81" s="145" t="s">
        <v>264</v>
      </c>
      <c r="B81" s="145" t="s">
        <v>322</v>
      </c>
      <c r="C81" s="145" t="s">
        <v>323</v>
      </c>
      <c r="D81" s="145" t="s">
        <v>324</v>
      </c>
      <c r="E81" s="145" t="s">
        <v>325</v>
      </c>
      <c r="F81" s="145" t="s">
        <v>281</v>
      </c>
      <c r="G81" s="145" t="s">
        <v>326</v>
      </c>
      <c r="H81" s="145" t="s">
        <v>257</v>
      </c>
    </row>
    <row r="82" spans="1:8" ht="47.25">
      <c r="A82" s="145" t="s">
        <v>264</v>
      </c>
      <c r="B82" s="145" t="s">
        <v>327</v>
      </c>
      <c r="C82" s="145" t="s">
        <v>328</v>
      </c>
      <c r="D82" s="145" t="s">
        <v>329</v>
      </c>
      <c r="E82" s="145" t="s">
        <v>330</v>
      </c>
      <c r="F82" s="145" t="s">
        <v>281</v>
      </c>
      <c r="G82" s="145" t="s">
        <v>326</v>
      </c>
      <c r="H82" s="145" t="s">
        <v>257</v>
      </c>
    </row>
    <row r="83" spans="1:8" ht="63">
      <c r="A83" s="145" t="s">
        <v>264</v>
      </c>
      <c r="B83" s="145" t="s">
        <v>331</v>
      </c>
      <c r="C83" s="145" t="s">
        <v>332</v>
      </c>
      <c r="D83" s="145" t="s">
        <v>333</v>
      </c>
      <c r="E83" s="145" t="s">
        <v>334</v>
      </c>
      <c r="F83" s="145" t="s">
        <v>281</v>
      </c>
      <c r="G83" s="145" t="s">
        <v>326</v>
      </c>
      <c r="H83" s="145" t="s">
        <v>257</v>
      </c>
    </row>
    <row r="84" spans="1:8" ht="63">
      <c r="A84" s="145" t="s">
        <v>269</v>
      </c>
      <c r="B84" s="145" t="s">
        <v>335</v>
      </c>
      <c r="C84" s="145" t="s">
        <v>336</v>
      </c>
      <c r="D84" s="145" t="s">
        <v>337</v>
      </c>
      <c r="E84" s="145" t="s">
        <v>338</v>
      </c>
      <c r="F84" s="145" t="s">
        <v>281</v>
      </c>
      <c r="G84" s="145" t="s">
        <v>339</v>
      </c>
      <c r="H84" s="145" t="s">
        <v>257</v>
      </c>
    </row>
    <row r="85" spans="1:8" ht="47.25">
      <c r="A85" s="145" t="s">
        <v>269</v>
      </c>
      <c r="B85" s="145" t="s">
        <v>340</v>
      </c>
      <c r="C85" s="145" t="s">
        <v>341</v>
      </c>
      <c r="D85" s="145" t="s">
        <v>342</v>
      </c>
      <c r="E85" s="145" t="s">
        <v>343</v>
      </c>
      <c r="F85" s="145" t="s">
        <v>281</v>
      </c>
      <c r="G85" s="145" t="s">
        <v>344</v>
      </c>
      <c r="H85" s="145" t="s">
        <v>257</v>
      </c>
    </row>
    <row r="86" spans="1:8" ht="63">
      <c r="A86" s="145" t="s">
        <v>269</v>
      </c>
      <c r="B86" s="145" t="s">
        <v>308</v>
      </c>
      <c r="C86" s="145" t="s">
        <v>345</v>
      </c>
      <c r="D86" s="145" t="s">
        <v>346</v>
      </c>
      <c r="E86" s="145" t="s">
        <v>347</v>
      </c>
      <c r="F86" s="146">
        <v>46164</v>
      </c>
      <c r="G86" s="145" t="s">
        <v>348</v>
      </c>
      <c r="H86" s="145" t="s">
        <v>257</v>
      </c>
    </row>
    <row r="87" spans="1:8" ht="47.25">
      <c r="A87" s="145" t="s">
        <v>349</v>
      </c>
      <c r="B87" s="145" t="s">
        <v>350</v>
      </c>
      <c r="C87" s="145" t="s">
        <v>351</v>
      </c>
      <c r="D87" s="145" t="s">
        <v>352</v>
      </c>
      <c r="E87" s="145" t="s">
        <v>353</v>
      </c>
      <c r="F87" s="145" t="s">
        <v>281</v>
      </c>
      <c r="G87" s="145" t="s">
        <v>354</v>
      </c>
      <c r="H87" s="145" t="s">
        <v>257</v>
      </c>
    </row>
    <row r="88" spans="1:8" ht="47.25">
      <c r="A88" s="145" t="s">
        <v>349</v>
      </c>
      <c r="B88" s="145" t="s">
        <v>355</v>
      </c>
      <c r="C88" s="145" t="s">
        <v>356</v>
      </c>
      <c r="D88" s="145" t="s">
        <v>357</v>
      </c>
      <c r="E88" s="145" t="s">
        <v>358</v>
      </c>
      <c r="F88" s="146">
        <v>46164</v>
      </c>
      <c r="G88" s="145" t="s">
        <v>359</v>
      </c>
      <c r="H88" s="145" t="s">
        <v>257</v>
      </c>
    </row>
    <row r="89" spans="1:8" ht="63">
      <c r="A89" s="145" t="s">
        <v>349</v>
      </c>
      <c r="B89" s="145" t="s">
        <v>360</v>
      </c>
      <c r="C89" s="145" t="s">
        <v>361</v>
      </c>
      <c r="D89" s="145" t="s">
        <v>362</v>
      </c>
      <c r="E89" s="145" t="s">
        <v>363</v>
      </c>
      <c r="F89" s="145" t="s">
        <v>281</v>
      </c>
      <c r="G89" s="145" t="s">
        <v>354</v>
      </c>
      <c r="H89" s="145" t="s">
        <v>257</v>
      </c>
    </row>
    <row r="90" spans="1:8" ht="47.25">
      <c r="A90" s="145" t="s">
        <v>349</v>
      </c>
      <c r="B90" s="145" t="s">
        <v>364</v>
      </c>
      <c r="C90" s="145" t="s">
        <v>365</v>
      </c>
      <c r="D90" s="145" t="s">
        <v>366</v>
      </c>
      <c r="E90" s="145" t="s">
        <v>367</v>
      </c>
      <c r="F90" s="146">
        <v>46166</v>
      </c>
      <c r="G90" s="145" t="s">
        <v>368</v>
      </c>
      <c r="H90" s="145" t="s">
        <v>257</v>
      </c>
    </row>
    <row r="91" spans="1:8" ht="63">
      <c r="A91" s="145" t="s">
        <v>369</v>
      </c>
      <c r="B91" s="145" t="s">
        <v>370</v>
      </c>
      <c r="C91" s="145" t="s">
        <v>371</v>
      </c>
      <c r="D91" s="145" t="s">
        <v>372</v>
      </c>
      <c r="E91" s="145" t="s">
        <v>373</v>
      </c>
      <c r="F91" s="146">
        <v>46163</v>
      </c>
      <c r="G91" s="145" t="s">
        <v>374</v>
      </c>
      <c r="H91" s="145" t="s">
        <v>257</v>
      </c>
    </row>
    <row r="92" spans="1:8" ht="47.25">
      <c r="A92" s="145" t="s">
        <v>369</v>
      </c>
      <c r="B92" s="145" t="s">
        <v>375</v>
      </c>
      <c r="C92" s="145" t="s">
        <v>376</v>
      </c>
      <c r="D92" s="145" t="s">
        <v>377</v>
      </c>
      <c r="E92" s="145" t="s">
        <v>378</v>
      </c>
      <c r="F92" s="145" t="s">
        <v>379</v>
      </c>
      <c r="G92" s="145" t="s">
        <v>380</v>
      </c>
      <c r="H92" s="145" t="s">
        <v>257</v>
      </c>
    </row>
    <row r="98" spans="1:8">
      <c r="A98" s="337" t="s">
        <v>381</v>
      </c>
      <c r="B98" s="338"/>
      <c r="C98" s="338"/>
      <c r="D98" s="338"/>
      <c r="E98" s="338"/>
      <c r="F98" s="338"/>
      <c r="G98" s="338"/>
      <c r="H98" s="339"/>
    </row>
    <row r="99" spans="1:8">
      <c r="A99" s="340" t="s">
        <v>231</v>
      </c>
      <c r="B99" s="337" t="s">
        <v>231</v>
      </c>
      <c r="C99" s="338"/>
      <c r="D99" s="338"/>
      <c r="E99" s="338"/>
      <c r="F99" s="339"/>
      <c r="G99" s="340" t="s">
        <v>232</v>
      </c>
      <c r="H99" s="340" t="s">
        <v>233</v>
      </c>
    </row>
    <row r="100" spans="1:8">
      <c r="A100" s="341"/>
      <c r="B100" s="149" t="s">
        <v>234</v>
      </c>
      <c r="C100" s="149" t="s">
        <v>275</v>
      </c>
      <c r="D100" s="149" t="s">
        <v>236</v>
      </c>
      <c r="E100" s="149" t="s">
        <v>276</v>
      </c>
      <c r="F100" s="149" t="s">
        <v>238</v>
      </c>
      <c r="G100" s="341"/>
      <c r="H100" s="341"/>
    </row>
    <row r="101" spans="1:8" ht="89.25">
      <c r="A101" s="150" t="s">
        <v>251</v>
      </c>
      <c r="B101" s="150" t="s">
        <v>382</v>
      </c>
      <c r="C101" s="150" t="s">
        <v>383</v>
      </c>
      <c r="D101" s="150" t="s">
        <v>384</v>
      </c>
      <c r="E101" s="150" t="s">
        <v>385</v>
      </c>
      <c r="F101" s="151">
        <v>46202</v>
      </c>
      <c r="G101" s="150" t="s">
        <v>386</v>
      </c>
      <c r="H101" s="150" t="s">
        <v>257</v>
      </c>
    </row>
    <row r="102" spans="1:8" ht="76.5">
      <c r="A102" s="150" t="s">
        <v>269</v>
      </c>
      <c r="B102" s="150" t="s">
        <v>387</v>
      </c>
      <c r="C102" s="150" t="s">
        <v>388</v>
      </c>
      <c r="D102" s="150" t="s">
        <v>389</v>
      </c>
      <c r="E102" s="150" t="s">
        <v>390</v>
      </c>
      <c r="F102" s="151">
        <v>46202</v>
      </c>
      <c r="G102" s="150" t="s">
        <v>391</v>
      </c>
      <c r="H102" s="150" t="s">
        <v>257</v>
      </c>
    </row>
    <row r="103" spans="1:8" ht="89.25">
      <c r="A103" s="150" t="s">
        <v>349</v>
      </c>
      <c r="B103" s="150" t="s">
        <v>392</v>
      </c>
      <c r="C103" s="150" t="s">
        <v>393</v>
      </c>
      <c r="D103" s="150" t="s">
        <v>394</v>
      </c>
      <c r="E103" s="150" t="s">
        <v>395</v>
      </c>
      <c r="F103" s="151">
        <v>46191</v>
      </c>
      <c r="G103" s="150" t="s">
        <v>396</v>
      </c>
      <c r="H103" s="150" t="s">
        <v>397</v>
      </c>
    </row>
    <row r="104" spans="1:8" ht="63.75">
      <c r="A104" s="150" t="s">
        <v>369</v>
      </c>
      <c r="B104" s="150" t="s">
        <v>398</v>
      </c>
      <c r="C104" s="150" t="s">
        <v>399</v>
      </c>
      <c r="D104" s="150" t="s">
        <v>400</v>
      </c>
      <c r="E104" s="150" t="s">
        <v>401</v>
      </c>
      <c r="F104" s="152">
        <v>46196</v>
      </c>
      <c r="G104" s="150" t="s">
        <v>402</v>
      </c>
      <c r="H104" s="150" t="s">
        <v>397</v>
      </c>
    </row>
  </sheetData>
  <mergeCells count="20">
    <mergeCell ref="A98:H98"/>
    <mergeCell ref="A99:A100"/>
    <mergeCell ref="B99:F99"/>
    <mergeCell ref="G99:G100"/>
    <mergeCell ref="H99:H100"/>
    <mergeCell ref="H7:H8"/>
    <mergeCell ref="H1:H2"/>
    <mergeCell ref="A3:A5"/>
    <mergeCell ref="B3:B5"/>
    <mergeCell ref="C3:C5"/>
    <mergeCell ref="A1:A2"/>
    <mergeCell ref="B1:F1"/>
    <mergeCell ref="G1:G2"/>
    <mergeCell ref="A6:A8"/>
    <mergeCell ref="B6:B8"/>
    <mergeCell ref="C6:C8"/>
    <mergeCell ref="E7:E8"/>
    <mergeCell ref="F7:F8"/>
    <mergeCell ref="D7:D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 Report &amp; WIP</vt:lpstr>
      <vt:lpstr>HK</vt:lpstr>
      <vt:lpstr>ZONA SPG</vt:lpstr>
      <vt:lpstr>COACHING</vt:lpstr>
      <vt:lpstr>FEB VS MARET</vt:lpstr>
      <vt:lpstr>SAMPLING</vt:lpstr>
      <vt:lpstr>PICA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intel core i5</cp:lastModifiedBy>
  <dcterms:created xsi:type="dcterms:W3CDTF">2026-08-18T02:19:00Z</dcterms:created>
  <dcterms:modified xsi:type="dcterms:W3CDTF">2026-08-20T06:08:35Z</dcterms:modified>
</cp:coreProperties>
</file>